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5\Metode Peramalan Deret Waktu\"/>
    </mc:Choice>
  </mc:AlternateContent>
  <xr:revisionPtr revIDLastSave="0" documentId="13_ncr:1_{3D1489B7-1A84-41EC-9B0D-919C591779EE}" xr6:coauthVersionLast="47" xr6:coauthVersionMax="47" xr10:uidLastSave="{00000000-0000-0000-0000-000000000000}"/>
  <bookViews>
    <workbookView xWindow="-108" yWindow="-108" windowWidth="23256" windowHeight="12456" activeTab="4" xr2:uid="{A834C21F-E80E-4FD0-8F40-08C93E8491DE}"/>
  </bookViews>
  <sheets>
    <sheet name="SMA" sheetId="1" r:id="rId1"/>
    <sheet name="DMA" sheetId="2" r:id="rId2"/>
    <sheet name="SES" sheetId="3" r:id="rId3"/>
    <sheet name="DES" sheetId="4" r:id="rId4"/>
    <sheet name="Perbandinga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4" l="1"/>
  <c r="O16" i="3"/>
  <c r="O18" i="3"/>
  <c r="O20" i="3"/>
  <c r="O22" i="3"/>
  <c r="W25" i="4"/>
  <c r="V25" i="4"/>
  <c r="W23" i="4"/>
  <c r="V23" i="4"/>
  <c r="W21" i="4"/>
  <c r="V21" i="4"/>
  <c r="W19" i="4"/>
  <c r="Q22" i="4"/>
  <c r="P4" i="4"/>
  <c r="Q4" i="4"/>
  <c r="P5" i="4"/>
  <c r="Q5" i="4"/>
  <c r="P6" i="4"/>
  <c r="Q6" i="4"/>
  <c r="P7" i="4"/>
  <c r="Q7" i="4"/>
  <c r="P8" i="4"/>
  <c r="Q8" i="4"/>
  <c r="P9" i="4"/>
  <c r="Q9" i="4"/>
  <c r="P10" i="4"/>
  <c r="Q10" i="4"/>
  <c r="P11" i="4"/>
  <c r="Q11" i="4"/>
  <c r="P12" i="4"/>
  <c r="Q12" i="4"/>
  <c r="P13" i="4"/>
  <c r="Q13" i="4"/>
  <c r="P14" i="4"/>
  <c r="Q14" i="4"/>
  <c r="P15" i="4"/>
  <c r="Q15" i="4"/>
  <c r="P16" i="4"/>
  <c r="Q16" i="4"/>
  <c r="P17" i="4"/>
  <c r="Q17" i="4"/>
  <c r="P18" i="4"/>
  <c r="Q18" i="4"/>
  <c r="P19" i="4"/>
  <c r="Q19" i="4"/>
  <c r="P20" i="4"/>
  <c r="Q20" i="4"/>
  <c r="P21" i="4"/>
  <c r="Q21" i="4"/>
  <c r="P22" i="4"/>
  <c r="P23" i="4"/>
  <c r="Q23" i="4"/>
  <c r="P24" i="4"/>
  <c r="Q24" i="4"/>
  <c r="P25" i="4"/>
  <c r="Q25" i="4"/>
  <c r="Q3" i="4"/>
  <c r="J3" i="3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O3" i="4"/>
  <c r="N3" i="4"/>
  <c r="M8" i="4"/>
  <c r="M4" i="4"/>
  <c r="M5" i="4"/>
  <c r="M6" i="4"/>
  <c r="M7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K2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I2" i="4"/>
  <c r="H2" i="4"/>
  <c r="G8" i="4"/>
  <c r="G4" i="4"/>
  <c r="G5" i="4" s="1"/>
  <c r="G6" i="4" s="1"/>
  <c r="G7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3" i="4"/>
  <c r="F25" i="4"/>
  <c r="F4" i="4"/>
  <c r="F3" i="4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E4" i="3"/>
  <c r="E5" i="3" s="1"/>
  <c r="E3" i="3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3" i="4"/>
  <c r="G2" i="4"/>
  <c r="F2" i="4"/>
  <c r="E2" i="4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3" i="3"/>
  <c r="U22" i="2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K3" i="3"/>
  <c r="Q22" i="1"/>
  <c r="P22" i="1"/>
  <c r="Q20" i="1"/>
  <c r="P20" i="1"/>
  <c r="Q18" i="1"/>
  <c r="P18" i="1"/>
  <c r="Q16" i="1"/>
  <c r="P16" i="1"/>
  <c r="U18" i="2"/>
  <c r="V20" i="2"/>
  <c r="U20" i="2"/>
  <c r="V18" i="2"/>
  <c r="V16" i="2"/>
  <c r="U16" i="2"/>
  <c r="V22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7" i="2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5" i="1"/>
  <c r="H15" i="3"/>
  <c r="H14" i="3"/>
  <c r="H4" i="3"/>
  <c r="H5" i="3"/>
  <c r="H6" i="3"/>
  <c r="H7" i="3"/>
  <c r="H8" i="3"/>
  <c r="H9" i="3"/>
  <c r="H10" i="3"/>
  <c r="H11" i="3"/>
  <c r="H12" i="3"/>
  <c r="H13" i="3"/>
  <c r="H16" i="3"/>
  <c r="H17" i="3"/>
  <c r="H18" i="3"/>
  <c r="H19" i="3"/>
  <c r="H20" i="3"/>
  <c r="H21" i="3"/>
  <c r="H22" i="3"/>
  <c r="H23" i="3"/>
  <c r="H24" i="3"/>
  <c r="H25" i="3"/>
  <c r="I3" i="3"/>
  <c r="H3" i="3"/>
  <c r="F4" i="3"/>
  <c r="G4" i="3"/>
  <c r="I4" i="3" s="1"/>
  <c r="F5" i="3"/>
  <c r="G5" i="3"/>
  <c r="I5" i="3" s="1"/>
  <c r="K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G3" i="3"/>
  <c r="F3" i="3"/>
  <c r="D4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E2" i="3"/>
  <c r="D2" i="3"/>
  <c r="H24" i="1"/>
  <c r="H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I24" i="1"/>
  <c r="H25" i="1"/>
  <c r="I25" i="1"/>
  <c r="I5" i="1"/>
  <c r="G10" i="2"/>
  <c r="K10" i="2" s="1"/>
  <c r="G18" i="2"/>
  <c r="K18" i="2" s="1"/>
  <c r="G20" i="2"/>
  <c r="K20" i="2" s="1"/>
  <c r="E5" i="2"/>
  <c r="E6" i="2"/>
  <c r="E25" i="2"/>
  <c r="D25" i="2"/>
  <c r="E24" i="2"/>
  <c r="D24" i="2"/>
  <c r="E23" i="2"/>
  <c r="G24" i="2" s="1"/>
  <c r="K24" i="2" s="1"/>
  <c r="D23" i="2"/>
  <c r="E22" i="2"/>
  <c r="D22" i="2"/>
  <c r="E21" i="2"/>
  <c r="D21" i="2"/>
  <c r="E20" i="2"/>
  <c r="D20" i="2"/>
  <c r="F22" i="2" s="1"/>
  <c r="J22" i="2" s="1"/>
  <c r="E19" i="2"/>
  <c r="D19" i="2"/>
  <c r="E18" i="2"/>
  <c r="D18" i="2"/>
  <c r="E17" i="2"/>
  <c r="G19" i="2" s="1"/>
  <c r="K19" i="2" s="1"/>
  <c r="D17" i="2"/>
  <c r="E16" i="2"/>
  <c r="D16" i="2"/>
  <c r="E15" i="2"/>
  <c r="G16" i="2" s="1"/>
  <c r="K16" i="2" s="1"/>
  <c r="D15" i="2"/>
  <c r="E14" i="2"/>
  <c r="D14" i="2"/>
  <c r="E13" i="2"/>
  <c r="D13" i="2"/>
  <c r="E12" i="2"/>
  <c r="D12" i="2"/>
  <c r="F14" i="2" s="1"/>
  <c r="J14" i="2" s="1"/>
  <c r="E11" i="2"/>
  <c r="D11" i="2"/>
  <c r="E10" i="2"/>
  <c r="D10" i="2"/>
  <c r="E9" i="2"/>
  <c r="G11" i="2" s="1"/>
  <c r="K11" i="2" s="1"/>
  <c r="D9" i="2"/>
  <c r="E8" i="2"/>
  <c r="D8" i="2"/>
  <c r="E7" i="2"/>
  <c r="G8" i="2" s="1"/>
  <c r="D7" i="2"/>
  <c r="D6" i="2"/>
  <c r="D5" i="2"/>
  <c r="F7" i="2" s="1"/>
  <c r="J7" i="2" s="1"/>
  <c r="E4" i="2"/>
  <c r="G6" i="2" s="1"/>
  <c r="I6" i="2" s="1"/>
  <c r="D4" i="2"/>
  <c r="F6" i="2" s="1"/>
  <c r="H6" i="2" s="1"/>
  <c r="D5" i="1"/>
  <c r="E5" i="1"/>
  <c r="D6" i="1"/>
  <c r="E6" i="1"/>
  <c r="G7" i="1" s="1"/>
  <c r="D7" i="1"/>
  <c r="F8" i="1" s="1"/>
  <c r="E7" i="1"/>
  <c r="G8" i="1" s="1"/>
  <c r="D8" i="1"/>
  <c r="F9" i="1" s="1"/>
  <c r="E8" i="1"/>
  <c r="G9" i="1" s="1"/>
  <c r="D9" i="1"/>
  <c r="F10" i="1" s="1"/>
  <c r="E9" i="1"/>
  <c r="G10" i="1" s="1"/>
  <c r="D10" i="1"/>
  <c r="F11" i="1" s="1"/>
  <c r="E10" i="1"/>
  <c r="G11" i="1" s="1"/>
  <c r="D11" i="1"/>
  <c r="F12" i="1" s="1"/>
  <c r="E11" i="1"/>
  <c r="G12" i="1" s="1"/>
  <c r="D12" i="1"/>
  <c r="F13" i="1" s="1"/>
  <c r="E12" i="1"/>
  <c r="G13" i="1" s="1"/>
  <c r="D13" i="1"/>
  <c r="E13" i="1"/>
  <c r="D14" i="1"/>
  <c r="F15" i="1" s="1"/>
  <c r="E14" i="1"/>
  <c r="G15" i="1" s="1"/>
  <c r="D15" i="1"/>
  <c r="E15" i="1"/>
  <c r="G16" i="1" s="1"/>
  <c r="D16" i="1"/>
  <c r="E16" i="1"/>
  <c r="G17" i="1" s="1"/>
  <c r="D17" i="1"/>
  <c r="E17" i="1"/>
  <c r="G18" i="1" s="1"/>
  <c r="D18" i="1"/>
  <c r="F19" i="1" s="1"/>
  <c r="E18" i="1"/>
  <c r="G19" i="1" s="1"/>
  <c r="D19" i="1"/>
  <c r="F20" i="1" s="1"/>
  <c r="E19" i="1"/>
  <c r="G20" i="1" s="1"/>
  <c r="D20" i="1"/>
  <c r="F21" i="1" s="1"/>
  <c r="E20" i="1"/>
  <c r="G21" i="1" s="1"/>
  <c r="D21" i="1"/>
  <c r="E21" i="1"/>
  <c r="D22" i="1"/>
  <c r="F23" i="1" s="1"/>
  <c r="E22" i="1"/>
  <c r="D23" i="1"/>
  <c r="F24" i="1" s="1"/>
  <c r="E23" i="1"/>
  <c r="G24" i="1" s="1"/>
  <c r="D24" i="1"/>
  <c r="F25" i="1" s="1"/>
  <c r="E24" i="1"/>
  <c r="G25" i="1" s="1"/>
  <c r="D25" i="1"/>
  <c r="F26" i="1" s="1"/>
  <c r="E25" i="1"/>
  <c r="G26" i="1" s="1"/>
  <c r="E4" i="1"/>
  <c r="G5" i="1" s="1"/>
  <c r="F14" i="1"/>
  <c r="F16" i="1"/>
  <c r="F17" i="1"/>
  <c r="F18" i="1"/>
  <c r="D4" i="1"/>
  <c r="F5" i="1" s="1"/>
  <c r="F6" i="1"/>
  <c r="G6" i="1"/>
  <c r="F7" i="1"/>
  <c r="G14" i="1"/>
  <c r="F22" i="1"/>
  <c r="G22" i="1"/>
  <c r="G23" i="1"/>
  <c r="E6" i="3" l="1"/>
  <c r="G6" i="3"/>
  <c r="I6" i="3" s="1"/>
  <c r="K6" i="3" s="1"/>
  <c r="K4" i="3"/>
  <c r="L7" i="2"/>
  <c r="N7" i="2" s="1"/>
  <c r="J6" i="2"/>
  <c r="I20" i="2"/>
  <c r="M21" i="2" s="1"/>
  <c r="O21" i="2" s="1"/>
  <c r="F10" i="2"/>
  <c r="F18" i="2"/>
  <c r="J18" i="2" s="1"/>
  <c r="H22" i="2"/>
  <c r="L23" i="2" s="1"/>
  <c r="N23" i="2" s="1"/>
  <c r="G12" i="2"/>
  <c r="K12" i="2" s="1"/>
  <c r="H14" i="2"/>
  <c r="L15" i="2" s="1"/>
  <c r="N15" i="2" s="1"/>
  <c r="I10" i="2"/>
  <c r="M11" i="2" s="1"/>
  <c r="O11" i="2" s="1"/>
  <c r="I18" i="2"/>
  <c r="M19" i="2" s="1"/>
  <c r="O19" i="2" s="1"/>
  <c r="H7" i="2"/>
  <c r="L8" i="2" s="1"/>
  <c r="N8" i="2" s="1"/>
  <c r="I24" i="2"/>
  <c r="M25" i="2" s="1"/>
  <c r="O25" i="2" s="1"/>
  <c r="K6" i="2"/>
  <c r="M7" i="2" s="1"/>
  <c r="O7" i="2" s="1"/>
  <c r="I16" i="2"/>
  <c r="M17" i="2" s="1"/>
  <c r="O17" i="2" s="1"/>
  <c r="H10" i="2"/>
  <c r="I11" i="2"/>
  <c r="M12" i="2" s="1"/>
  <c r="O12" i="2" s="1"/>
  <c r="I22" i="2"/>
  <c r="M23" i="2" s="1"/>
  <c r="O23" i="2" s="1"/>
  <c r="I8" i="2"/>
  <c r="I19" i="2"/>
  <c r="M20" i="2" s="1"/>
  <c r="O20" i="2" s="1"/>
  <c r="J10" i="2"/>
  <c r="G23" i="2"/>
  <c r="K23" i="2" s="1"/>
  <c r="G15" i="2"/>
  <c r="K15" i="2" s="1"/>
  <c r="G7" i="2"/>
  <c r="K7" i="2" s="1"/>
  <c r="F24" i="2"/>
  <c r="J24" i="2" s="1"/>
  <c r="F16" i="2"/>
  <c r="J16" i="2" s="1"/>
  <c r="F8" i="2"/>
  <c r="J8" i="2" s="1"/>
  <c r="F23" i="2"/>
  <c r="H23" i="2" s="1"/>
  <c r="F15" i="2"/>
  <c r="J15" i="2" s="1"/>
  <c r="G22" i="2"/>
  <c r="K22" i="2" s="1"/>
  <c r="G14" i="2"/>
  <c r="K14" i="2" s="1"/>
  <c r="G21" i="2"/>
  <c r="I21" i="2" s="1"/>
  <c r="G13" i="2"/>
  <c r="K13" i="2" s="1"/>
  <c r="I17" i="2"/>
  <c r="M18" i="2" s="1"/>
  <c r="O18" i="2" s="1"/>
  <c r="I9" i="2"/>
  <c r="M10" i="2" s="1"/>
  <c r="O10" i="2" s="1"/>
  <c r="F21" i="2"/>
  <c r="J21" i="2" s="1"/>
  <c r="F13" i="2"/>
  <c r="J13" i="2" s="1"/>
  <c r="K8" i="2"/>
  <c r="F20" i="2"/>
  <c r="J20" i="2" s="1"/>
  <c r="F12" i="2"/>
  <c r="J12" i="2" s="1"/>
  <c r="F19" i="2"/>
  <c r="H19" i="2" s="1"/>
  <c r="F11" i="2"/>
  <c r="J11" i="2" s="1"/>
  <c r="G25" i="2"/>
  <c r="K25" i="2" s="1"/>
  <c r="G17" i="2"/>
  <c r="K17" i="2" s="1"/>
  <c r="G9" i="2"/>
  <c r="K9" i="2" s="1"/>
  <c r="I7" i="2"/>
  <c r="M8" i="2" s="1"/>
  <c r="O8" i="2" s="1"/>
  <c r="J23" i="2"/>
  <c r="F25" i="2"/>
  <c r="J25" i="2" s="1"/>
  <c r="F17" i="2"/>
  <c r="H17" i="2" s="1"/>
  <c r="F9" i="2"/>
  <c r="H9" i="2" s="1"/>
  <c r="E7" i="3" l="1"/>
  <c r="G7" i="3"/>
  <c r="I7" i="3" s="1"/>
  <c r="J17" i="2"/>
  <c r="L18" i="2" s="1"/>
  <c r="N18" i="2" s="1"/>
  <c r="H25" i="2"/>
  <c r="L26" i="2" s="1"/>
  <c r="L20" i="2"/>
  <c r="N20" i="2" s="1"/>
  <c r="H15" i="2"/>
  <c r="L16" i="2" s="1"/>
  <c r="N16" i="2" s="1"/>
  <c r="L24" i="2"/>
  <c r="N24" i="2" s="1"/>
  <c r="L10" i="2"/>
  <c r="N10" i="2" s="1"/>
  <c r="H13" i="2"/>
  <c r="L14" i="2" s="1"/>
  <c r="N14" i="2" s="1"/>
  <c r="I15" i="2"/>
  <c r="M16" i="2" s="1"/>
  <c r="O16" i="2" s="1"/>
  <c r="M9" i="2"/>
  <c r="O9" i="2" s="1"/>
  <c r="I23" i="2"/>
  <c r="M24" i="2" s="1"/>
  <c r="O24" i="2" s="1"/>
  <c r="M22" i="2"/>
  <c r="O22" i="2" s="1"/>
  <c r="J9" i="2"/>
  <c r="L11" i="2"/>
  <c r="N11" i="2" s="1"/>
  <c r="I12" i="2"/>
  <c r="M13" i="2" s="1"/>
  <c r="O13" i="2" s="1"/>
  <c r="H18" i="2"/>
  <c r="L19" i="2" s="1"/>
  <c r="N19" i="2" s="1"/>
  <c r="I13" i="2"/>
  <c r="M14" i="2" s="1"/>
  <c r="O14" i="2" s="1"/>
  <c r="H11" i="2"/>
  <c r="L12" i="2" s="1"/>
  <c r="N12" i="2" s="1"/>
  <c r="K21" i="2"/>
  <c r="H24" i="2"/>
  <c r="L25" i="2" s="1"/>
  <c r="N25" i="2" s="1"/>
  <c r="I25" i="2"/>
  <c r="M26" i="2" s="1"/>
  <c r="H16" i="2"/>
  <c r="L17" i="2" s="1"/>
  <c r="N17" i="2" s="1"/>
  <c r="H8" i="2"/>
  <c r="L9" i="2" s="1"/>
  <c r="N9" i="2" s="1"/>
  <c r="H20" i="2"/>
  <c r="L21" i="2" s="1"/>
  <c r="N21" i="2" s="1"/>
  <c r="H12" i="2"/>
  <c r="L13" i="2" s="1"/>
  <c r="N13" i="2" s="1"/>
  <c r="J19" i="2"/>
  <c r="I14" i="2"/>
  <c r="M15" i="2" s="1"/>
  <c r="O15" i="2" s="1"/>
  <c r="H21" i="2"/>
  <c r="L22" i="2" s="1"/>
  <c r="N22" i="2" s="1"/>
  <c r="E8" i="3" l="1"/>
  <c r="G8" i="3"/>
  <c r="I8" i="3" s="1"/>
  <c r="K8" i="3" s="1"/>
  <c r="K7" i="3"/>
  <c r="E9" i="3" l="1"/>
  <c r="G9" i="3"/>
  <c r="I9" i="3" s="1"/>
  <c r="K9" i="3" l="1"/>
  <c r="E10" i="3"/>
  <c r="G10" i="3"/>
  <c r="I10" i="3" s="1"/>
  <c r="K10" i="3" s="1"/>
  <c r="E11" i="3" l="1"/>
  <c r="G11" i="3"/>
  <c r="I11" i="3" s="1"/>
  <c r="K11" i="3" s="1"/>
  <c r="E12" i="3" l="1"/>
  <c r="G12" i="3"/>
  <c r="I12" i="3" s="1"/>
  <c r="K12" i="3" l="1"/>
  <c r="G13" i="3"/>
  <c r="I13" i="3" s="1"/>
  <c r="K13" i="3" s="1"/>
  <c r="E13" i="3"/>
  <c r="G14" i="3" l="1"/>
  <c r="I14" i="3" s="1"/>
  <c r="K14" i="3" s="1"/>
  <c r="E14" i="3"/>
  <c r="G15" i="3" l="1"/>
  <c r="I15" i="3" s="1"/>
  <c r="K15" i="3" s="1"/>
  <c r="E15" i="3"/>
  <c r="G16" i="3" l="1"/>
  <c r="I16" i="3" s="1"/>
  <c r="K16" i="3" s="1"/>
  <c r="E16" i="3"/>
  <c r="G17" i="3" l="1"/>
  <c r="I17" i="3" s="1"/>
  <c r="K17" i="3" s="1"/>
  <c r="E17" i="3"/>
  <c r="E18" i="3" l="1"/>
  <c r="G18" i="3"/>
  <c r="I18" i="3" s="1"/>
  <c r="K18" i="3" s="1"/>
  <c r="G19" i="3" l="1"/>
  <c r="I19" i="3" s="1"/>
  <c r="K19" i="3" s="1"/>
  <c r="E19" i="3"/>
  <c r="E20" i="3" l="1"/>
  <c r="G20" i="3"/>
  <c r="I20" i="3" s="1"/>
  <c r="K20" i="3" s="1"/>
  <c r="E21" i="3" l="1"/>
  <c r="G21" i="3"/>
  <c r="I21" i="3" s="1"/>
  <c r="K21" i="3" s="1"/>
  <c r="E22" i="3" l="1"/>
  <c r="G22" i="3"/>
  <c r="I22" i="3" s="1"/>
  <c r="K22" i="3" s="1"/>
  <c r="G23" i="3" l="1"/>
  <c r="I23" i="3" s="1"/>
  <c r="K23" i="3" s="1"/>
  <c r="E23" i="3"/>
  <c r="E24" i="3" l="1"/>
  <c r="G24" i="3"/>
  <c r="I24" i="3" s="1"/>
  <c r="K24" i="3" s="1"/>
  <c r="E25" i="3" l="1"/>
  <c r="G26" i="3" s="1"/>
  <c r="G25" i="3"/>
  <c r="I25" i="3" s="1"/>
  <c r="K25" i="3" l="1"/>
  <c r="P22" i="3" s="1"/>
  <c r="P16" i="3"/>
  <c r="P18" i="3"/>
  <c r="P20" i="3"/>
</calcChain>
</file>

<file path=xl/sharedStrings.xml><?xml version="1.0" encoding="utf-8"?>
<sst xmlns="http://schemas.openxmlformats.org/spreadsheetml/2006/main" count="216" uniqueCount="66">
  <si>
    <t>t</t>
  </si>
  <si>
    <t>advert</t>
  </si>
  <si>
    <t>sales</t>
  </si>
  <si>
    <t>M =</t>
  </si>
  <si>
    <t>Smoothing Advert</t>
  </si>
  <si>
    <t>Smoothing Sales</t>
  </si>
  <si>
    <t>-</t>
  </si>
  <si>
    <t>F Advert</t>
  </si>
  <si>
    <t>F Sales</t>
  </si>
  <si>
    <t>Smoothing</t>
  </si>
  <si>
    <t>Forecasting</t>
  </si>
  <si>
    <t>Mean Absolute Deviation (MAD)</t>
  </si>
  <si>
    <t>=</t>
  </si>
  <si>
    <t>Mean Square Error (MSE)</t>
  </si>
  <si>
    <t>|Xt - Ft| advert</t>
  </si>
  <si>
    <t>|Xt - Ft| sales</t>
  </si>
  <si>
    <t>Root Mean Square Error (RMSE)</t>
  </si>
  <si>
    <t>Mean Absolute Percentage Error</t>
  </si>
  <si>
    <t>Advert</t>
  </si>
  <si>
    <t>Sales</t>
  </si>
  <si>
    <t>(dipilih m=3 karena semakin besar M, metrik evaluasinya juga semakin besar)</t>
  </si>
  <si>
    <t>S' Advert</t>
  </si>
  <si>
    <t>S' Sales</t>
  </si>
  <si>
    <t>m =</t>
  </si>
  <si>
    <t>(dipilih m=3 karena semakin besar m, metrik evaluasinya juga semakin besar)</t>
  </si>
  <si>
    <t>S'' Sales</t>
  </si>
  <si>
    <t>S'' Advert</t>
  </si>
  <si>
    <t>A advert</t>
  </si>
  <si>
    <t>A Sales</t>
  </si>
  <si>
    <t>B Advert</t>
  </si>
  <si>
    <t>B Sales</t>
  </si>
  <si>
    <t>|Xt - Ft| Advert</t>
  </si>
  <si>
    <t>|Xt - Ft| Sales</t>
  </si>
  <si>
    <t>(peramalan untuk h periode kedepan)</t>
  </si>
  <si>
    <t>S advert (0.4)</t>
  </si>
  <si>
    <t>S sales (0.4)</t>
  </si>
  <si>
    <t>F advert (0.4)</t>
  </si>
  <si>
    <t>F sales (0.4)</t>
  </si>
  <si>
    <t>Mean Absolute Percentage Error (MAPE)</t>
  </si>
  <si>
    <t>S' advert (0.4)</t>
  </si>
  <si>
    <t>S' sales (0.4)</t>
  </si>
  <si>
    <t>S'' advert (0.4)</t>
  </si>
  <si>
    <t>S'' sales (0.4)</t>
  </si>
  <si>
    <t>a advert</t>
  </si>
  <si>
    <t>b advert</t>
  </si>
  <si>
    <t>b sales</t>
  </si>
  <si>
    <t>a sales</t>
  </si>
  <si>
    <t>F advert</t>
  </si>
  <si>
    <t>F sales</t>
  </si>
  <si>
    <t>ADVERT</t>
  </si>
  <si>
    <t>SMA</t>
  </si>
  <si>
    <t>DMA</t>
  </si>
  <si>
    <t>SES</t>
  </si>
  <si>
    <t>DES</t>
  </si>
  <si>
    <t>MAD</t>
  </si>
  <si>
    <t>MSE</t>
  </si>
  <si>
    <t>RMSE</t>
  </si>
  <si>
    <t>MAPE</t>
  </si>
  <si>
    <t>SALES</t>
  </si>
  <si>
    <t>MAD TERBAIK</t>
  </si>
  <si>
    <t>MSE TERBAIK</t>
  </si>
  <si>
    <t>RMSE TERBAIK</t>
  </si>
  <si>
    <t>MAPE TERBAIK</t>
  </si>
  <si>
    <t>KESIMPULAN:</t>
  </si>
  <si>
    <t>dengan mempertimbangkan nilai evaluasi, metode pemulusan paling berlaku untuk kedua variabel (advert &amp; sales) adalah SMA</t>
  </si>
  <si>
    <t>metode ini menghasilkan MSE, RMSE, dan MAPE terbaik diantara metode pemulusan lain.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</si>
</sst>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1" applyNumberFormat="1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0" fontId="0" fillId="0" borderId="1" xfId="1" applyNumberFormat="1" applyFont="1" applyBorder="1"/>
    <xf numFmtId="0" fontId="2" fillId="0" borderId="1" xfId="0" applyFont="1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22860</xdr:colOff>
      <xdr:row>5</xdr:row>
      <xdr:rowOff>38101</xdr:rowOff>
    </xdr:from>
    <xdr:to>
      <xdr:col>13</xdr:col>
      <xdr:colOff>1798474</xdr:colOff>
      <xdr:row>8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DBC31-068C-3B09-B1AC-DDA5FA1A0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3040" y="952501"/>
          <a:ext cx="1775614" cy="6781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</xdr:rowOff>
    </xdr:from>
    <xdr:to>
      <xdr:col>13</xdr:col>
      <xdr:colOff>1653683</xdr:colOff>
      <xdr:row>13</xdr:row>
      <xdr:rowOff>160021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212D0-829B-49E9-F05B-7079AC5BB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0180" y="1828801"/>
          <a:ext cx="1653683" cy="708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693420</xdr:colOff>
      <xdr:row>3</xdr:row>
      <xdr:rowOff>175261</xdr:rowOff>
    </xdr:from>
    <xdr:to>
      <xdr:col>18</xdr:col>
      <xdr:colOff>2276340</xdr:colOff>
      <xdr:row>8</xdr:row>
      <xdr:rowOff>175261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AA2CDA-7370-A9DA-C30D-382810EC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0" y="723901"/>
          <a:ext cx="1577477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748939</xdr:colOff>
      <xdr:row>9</xdr:row>
      <xdr:rowOff>50076</xdr:rowOff>
    </xdr:from>
    <xdr:to>
      <xdr:col>19</xdr:col>
      <xdr:colOff>177439</xdr:colOff>
      <xdr:row>12</xdr:row>
      <xdr:rowOff>151694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BA24BD-5953-2ACD-312D-C472D5DF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0539" y="1715590"/>
          <a:ext cx="1758043" cy="656790"/>
        </a:xfrm>
        <a:prstGeom prst="rect">
          <a:avLst/>
        </a:prstGeom>
      </xdr:spPr>
    </xdr:pic>
    <xdr:clientData/>
  </xdr:twoCellAnchor>
  <xdr:twoCellAnchor editAs="oneCell">
    <xdr:from>
      <xdr:col>19</xdr:col>
      <xdr:colOff>260170</xdr:colOff>
      <xdr:row>9</xdr:row>
      <xdr:rowOff>55517</xdr:rowOff>
    </xdr:from>
    <xdr:to>
      <xdr:col>21</xdr:col>
      <xdr:colOff>544596</xdr:colOff>
      <xdr:row>13</xdr:row>
      <xdr:rowOff>78376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F084E7-3374-FD0C-CD70-854342FA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91313" y="1721031"/>
          <a:ext cx="1503626" cy="763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20B7-E133-4FDB-BB4B-5395AB10B923}">
  <dimension ref="A1:Q26"/>
  <sheetViews>
    <sheetView topLeftCell="A4" workbookViewId="0">
      <selection activeCell="Q16" sqref="Q16:Q22"/>
    </sheetView>
  </sheetViews>
  <sheetFormatPr defaultRowHeight="14.4" x14ac:dyDescent="0.3"/>
  <cols>
    <col min="4" max="4" width="15.5546875" bestFit="1" customWidth="1"/>
    <col min="5" max="5" width="14.33203125" bestFit="1" customWidth="1"/>
    <col min="8" max="8" width="13.33203125" bestFit="1" customWidth="1"/>
    <col min="9" max="9" width="12" bestFit="1" customWidth="1"/>
    <col min="14" max="14" width="27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14</v>
      </c>
      <c r="I1" t="s">
        <v>15</v>
      </c>
    </row>
    <row r="2" spans="1:17" x14ac:dyDescent="0.3">
      <c r="A2">
        <v>1</v>
      </c>
      <c r="B2">
        <v>113</v>
      </c>
      <c r="C2">
        <v>180.8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</row>
    <row r="3" spans="1:17" x14ac:dyDescent="0.3">
      <c r="A3">
        <v>2</v>
      </c>
      <c r="B3">
        <v>88</v>
      </c>
      <c r="C3">
        <v>167.2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N3" t="s">
        <v>3</v>
      </c>
      <c r="O3">
        <v>3</v>
      </c>
    </row>
    <row r="4" spans="1:17" x14ac:dyDescent="0.3">
      <c r="A4">
        <v>3</v>
      </c>
      <c r="B4">
        <v>103</v>
      </c>
      <c r="C4">
        <v>172.5</v>
      </c>
      <c r="D4">
        <f>(1/$O$3)*(B2+B3+B4)</f>
        <v>101.33333333333333</v>
      </c>
      <c r="E4">
        <f>(1/$O$3)*(C2+C3+C4)</f>
        <v>173.5</v>
      </c>
      <c r="F4" s="1" t="s">
        <v>6</v>
      </c>
      <c r="G4" s="1" t="s">
        <v>6</v>
      </c>
      <c r="H4" s="1" t="s">
        <v>6</v>
      </c>
      <c r="I4" s="1" t="s">
        <v>6</v>
      </c>
      <c r="N4" t="s">
        <v>20</v>
      </c>
    </row>
    <row r="5" spans="1:17" x14ac:dyDescent="0.3">
      <c r="A5">
        <v>4</v>
      </c>
      <c r="B5">
        <v>98</v>
      </c>
      <c r="C5">
        <v>171</v>
      </c>
      <c r="D5">
        <f>(1/$O$3)*(B3+B4+B5)</f>
        <v>96.333333333333329</v>
      </c>
      <c r="E5">
        <f>(1/$O$3)*(C3+C4+C5)</f>
        <v>170.23333333333332</v>
      </c>
      <c r="F5">
        <f>D4</f>
        <v>101.33333333333333</v>
      </c>
      <c r="G5">
        <f>E4</f>
        <v>173.5</v>
      </c>
      <c r="H5">
        <f>ABS(B5-F5)</f>
        <v>3.3333333333333286</v>
      </c>
      <c r="I5">
        <f>ABS(C5-G5)</f>
        <v>2.5</v>
      </c>
      <c r="J5">
        <f>H5/B5</f>
        <v>3.4013605442176825E-2</v>
      </c>
      <c r="K5">
        <f>I5/C5</f>
        <v>1.4619883040935672E-2</v>
      </c>
      <c r="N5" t="s">
        <v>9</v>
      </c>
    </row>
    <row r="6" spans="1:17" x14ac:dyDescent="0.3">
      <c r="A6">
        <v>5</v>
      </c>
      <c r="B6">
        <v>108</v>
      </c>
      <c r="C6">
        <v>176.1</v>
      </c>
      <c r="D6">
        <f>(1/$O$3)*(B4+B5+B6)</f>
        <v>103</v>
      </c>
      <c r="E6">
        <f>(1/$O$3)*(C4+C5+C6)</f>
        <v>173.2</v>
      </c>
      <c r="F6">
        <f t="shared" ref="F6:F26" si="0">D5</f>
        <v>96.333333333333329</v>
      </c>
      <c r="G6">
        <f t="shared" ref="G6:G26" si="1">E5</f>
        <v>170.23333333333332</v>
      </c>
      <c r="H6">
        <f t="shared" ref="H6:H25" si="2">ABS(B6-F6)</f>
        <v>11.666666666666671</v>
      </c>
      <c r="I6">
        <f t="shared" ref="I6:I25" si="3">ABS(C6-G6)</f>
        <v>5.8666666666666742</v>
      </c>
      <c r="J6">
        <f t="shared" ref="J6:J25" si="4">H6/B6</f>
        <v>0.10802469135802474</v>
      </c>
      <c r="K6">
        <f t="shared" ref="K6:K25" si="5">I6/C6</f>
        <v>3.3314404694302524E-2</v>
      </c>
    </row>
    <row r="7" spans="1:17" x14ac:dyDescent="0.3">
      <c r="A7">
        <v>6</v>
      </c>
      <c r="B7">
        <v>98</v>
      </c>
      <c r="C7">
        <v>171.9</v>
      </c>
      <c r="D7">
        <f>(1/$O$3)*(B5+B6+B7)</f>
        <v>101.33333333333333</v>
      </c>
      <c r="E7">
        <f>(1/$O$3)*(C5+C6+C7)</f>
        <v>173</v>
      </c>
      <c r="F7">
        <f t="shared" si="0"/>
        <v>103</v>
      </c>
      <c r="G7">
        <f t="shared" si="1"/>
        <v>173.2</v>
      </c>
      <c r="H7">
        <f t="shared" si="2"/>
        <v>5</v>
      </c>
      <c r="I7">
        <f t="shared" si="3"/>
        <v>1.2999999999999829</v>
      </c>
      <c r="J7">
        <f t="shared" si="4"/>
        <v>5.1020408163265307E-2</v>
      </c>
      <c r="K7">
        <f t="shared" si="5"/>
        <v>7.5625363583477776E-3</v>
      </c>
    </row>
    <row r="8" spans="1:17" x14ac:dyDescent="0.3">
      <c r="A8">
        <v>7</v>
      </c>
      <c r="B8">
        <v>93</v>
      </c>
      <c r="C8">
        <v>167.9</v>
      </c>
      <c r="D8">
        <f>(1/$O$3)*(B6+B7+B8)</f>
        <v>99.666666666666657</v>
      </c>
      <c r="E8">
        <f>(1/$O$3)*(C6+C7+C8)</f>
        <v>171.96666666666664</v>
      </c>
      <c r="F8">
        <f t="shared" si="0"/>
        <v>101.33333333333333</v>
      </c>
      <c r="G8">
        <f t="shared" si="1"/>
        <v>173</v>
      </c>
      <c r="H8">
        <f t="shared" si="2"/>
        <v>8.3333333333333286</v>
      </c>
      <c r="I8">
        <f t="shared" si="3"/>
        <v>5.0999999999999943</v>
      </c>
      <c r="J8">
        <f t="shared" si="4"/>
        <v>8.9605734767025033E-2</v>
      </c>
      <c r="K8">
        <f t="shared" si="5"/>
        <v>3.0375223347230459E-2</v>
      </c>
    </row>
    <row r="9" spans="1:17" x14ac:dyDescent="0.3">
      <c r="A9">
        <v>8</v>
      </c>
      <c r="B9">
        <v>93</v>
      </c>
      <c r="C9">
        <v>169.1</v>
      </c>
      <c r="D9">
        <f>(1/$O$3)*(B7+B8+B9)</f>
        <v>94.666666666666657</v>
      </c>
      <c r="E9">
        <f>(1/$O$3)*(C7+C8+C9)</f>
        <v>169.63333333333333</v>
      </c>
      <c r="F9">
        <f t="shared" si="0"/>
        <v>99.666666666666657</v>
      </c>
      <c r="G9">
        <f t="shared" si="1"/>
        <v>171.96666666666664</v>
      </c>
      <c r="H9">
        <f t="shared" si="2"/>
        <v>6.6666666666666572</v>
      </c>
      <c r="I9">
        <f t="shared" si="3"/>
        <v>2.8666666666666458</v>
      </c>
      <c r="J9">
        <f t="shared" si="4"/>
        <v>7.1684587813619971E-2</v>
      </c>
      <c r="K9">
        <f t="shared" si="5"/>
        <v>1.6952493593534276E-2</v>
      </c>
    </row>
    <row r="10" spans="1:17" x14ac:dyDescent="0.3">
      <c r="A10">
        <v>9</v>
      </c>
      <c r="B10">
        <v>103</v>
      </c>
      <c r="C10">
        <v>174.4</v>
      </c>
      <c r="D10">
        <f>(1/$O$3)*(B8+B9+B10)</f>
        <v>96.333333333333329</v>
      </c>
      <c r="E10">
        <f>(1/$O$3)*(C8+C9+C10)</f>
        <v>170.46666666666664</v>
      </c>
      <c r="F10">
        <f t="shared" si="0"/>
        <v>94.666666666666657</v>
      </c>
      <c r="G10">
        <f t="shared" si="1"/>
        <v>169.63333333333333</v>
      </c>
      <c r="H10">
        <f t="shared" si="2"/>
        <v>8.3333333333333428</v>
      </c>
      <c r="I10">
        <f t="shared" si="3"/>
        <v>4.7666666666666799</v>
      </c>
      <c r="J10">
        <f t="shared" si="4"/>
        <v>8.0906148867314009E-2</v>
      </c>
      <c r="K10">
        <f t="shared" si="5"/>
        <v>2.7331804281345642E-2</v>
      </c>
      <c r="N10" t="s">
        <v>10</v>
      </c>
    </row>
    <row r="11" spans="1:17" x14ac:dyDescent="0.3">
      <c r="A11">
        <v>10</v>
      </c>
      <c r="B11">
        <v>103</v>
      </c>
      <c r="C11">
        <v>174.3</v>
      </c>
      <c r="D11">
        <f>(1/$O$3)*(B9+B10+B11)</f>
        <v>99.666666666666657</v>
      </c>
      <c r="E11">
        <f>(1/$O$3)*(C9+C10+C11)</f>
        <v>172.59999999999997</v>
      </c>
      <c r="F11">
        <f t="shared" si="0"/>
        <v>96.333333333333329</v>
      </c>
      <c r="G11">
        <f t="shared" si="1"/>
        <v>170.46666666666664</v>
      </c>
      <c r="H11">
        <f t="shared" si="2"/>
        <v>6.6666666666666714</v>
      </c>
      <c r="I11">
        <f t="shared" si="3"/>
        <v>3.8333333333333712</v>
      </c>
      <c r="J11">
        <f t="shared" si="4"/>
        <v>6.4724919093851183E-2</v>
      </c>
      <c r="K11">
        <f t="shared" si="5"/>
        <v>2.1992732836106546E-2</v>
      </c>
    </row>
    <row r="12" spans="1:17" x14ac:dyDescent="0.3">
      <c r="A12">
        <v>11</v>
      </c>
      <c r="B12">
        <v>93</v>
      </c>
      <c r="C12">
        <v>169.9</v>
      </c>
      <c r="D12">
        <f>(1/$O$3)*(B10+B11+B12)</f>
        <v>99.666666666666657</v>
      </c>
      <c r="E12">
        <f>(1/$O$3)*(C10+C11+C12)</f>
        <v>172.86666666666667</v>
      </c>
      <c r="F12">
        <f t="shared" si="0"/>
        <v>99.666666666666657</v>
      </c>
      <c r="G12">
        <f t="shared" si="1"/>
        <v>172.59999999999997</v>
      </c>
      <c r="H12">
        <f t="shared" si="2"/>
        <v>6.6666666666666572</v>
      </c>
      <c r="I12">
        <f t="shared" si="3"/>
        <v>2.6999999999999602</v>
      </c>
      <c r="J12">
        <f t="shared" si="4"/>
        <v>7.1684587813619971E-2</v>
      </c>
      <c r="K12">
        <f t="shared" si="5"/>
        <v>1.5891701000588346E-2</v>
      </c>
    </row>
    <row r="13" spans="1:17" x14ac:dyDescent="0.3">
      <c r="A13">
        <v>12</v>
      </c>
      <c r="B13">
        <v>108</v>
      </c>
      <c r="C13">
        <v>178.6</v>
      </c>
      <c r="D13">
        <f>(1/$O$3)*(B11+B12+B13)</f>
        <v>101.33333333333333</v>
      </c>
      <c r="E13">
        <f>(1/$O$3)*(C11+C12+C13)</f>
        <v>174.26666666666668</v>
      </c>
      <c r="F13">
        <f t="shared" si="0"/>
        <v>99.666666666666657</v>
      </c>
      <c r="G13">
        <f t="shared" si="1"/>
        <v>172.86666666666667</v>
      </c>
      <c r="H13">
        <f t="shared" si="2"/>
        <v>8.3333333333333428</v>
      </c>
      <c r="I13">
        <f t="shared" si="3"/>
        <v>5.7333333333333201</v>
      </c>
      <c r="J13">
        <f t="shared" si="4"/>
        <v>7.7160493827160587E-2</v>
      </c>
      <c r="K13">
        <f t="shared" si="5"/>
        <v>3.2101530421799106E-2</v>
      </c>
    </row>
    <row r="14" spans="1:17" x14ac:dyDescent="0.3">
      <c r="A14">
        <v>13</v>
      </c>
      <c r="B14">
        <v>103</v>
      </c>
      <c r="C14">
        <v>179.4</v>
      </c>
      <c r="D14">
        <f>(1/$O$3)*(B12+B13+B14)</f>
        <v>101.33333333333333</v>
      </c>
      <c r="E14">
        <f>(1/$O$3)*(C12+C13+C14)</f>
        <v>175.96666666666664</v>
      </c>
      <c r="F14">
        <f t="shared" si="0"/>
        <v>101.33333333333333</v>
      </c>
      <c r="G14">
        <f t="shared" si="1"/>
        <v>174.26666666666668</v>
      </c>
      <c r="H14">
        <f t="shared" si="2"/>
        <v>1.6666666666666714</v>
      </c>
      <c r="I14">
        <f t="shared" si="3"/>
        <v>5.1333333333333258</v>
      </c>
      <c r="J14">
        <f t="shared" si="4"/>
        <v>1.618122977346283E-2</v>
      </c>
      <c r="K14">
        <f t="shared" si="5"/>
        <v>2.8613898179115527E-2</v>
      </c>
    </row>
    <row r="15" spans="1:17" x14ac:dyDescent="0.3">
      <c r="A15">
        <v>14</v>
      </c>
      <c r="B15">
        <v>93</v>
      </c>
      <c r="C15">
        <v>176.5</v>
      </c>
      <c r="D15">
        <f>(1/$O$3)*(B13+B14+B15)</f>
        <v>101.33333333333333</v>
      </c>
      <c r="E15">
        <f>(1/$O$3)*(C13+C14+C15)</f>
        <v>178.16666666666666</v>
      </c>
      <c r="F15">
        <f t="shared" si="0"/>
        <v>101.33333333333333</v>
      </c>
      <c r="G15">
        <f t="shared" si="1"/>
        <v>175.96666666666664</v>
      </c>
      <c r="H15">
        <f t="shared" si="2"/>
        <v>8.3333333333333286</v>
      </c>
      <c r="I15">
        <f t="shared" si="3"/>
        <v>0.53333333333335986</v>
      </c>
      <c r="J15">
        <f t="shared" si="4"/>
        <v>8.9605734767025033E-2</v>
      </c>
      <c r="K15">
        <f t="shared" si="5"/>
        <v>3.0217186024552966E-3</v>
      </c>
      <c r="P15" t="s">
        <v>18</v>
      </c>
      <c r="Q15" t="s">
        <v>19</v>
      </c>
    </row>
    <row r="16" spans="1:17" x14ac:dyDescent="0.3">
      <c r="A16">
        <v>15</v>
      </c>
      <c r="B16">
        <v>98</v>
      </c>
      <c r="C16">
        <v>181.5</v>
      </c>
      <c r="D16">
        <f>(1/$O$3)*(B14+B15+B16)</f>
        <v>98</v>
      </c>
      <c r="E16">
        <f>(1/$O$3)*(C14+C15+C16)</f>
        <v>179.13333333333333</v>
      </c>
      <c r="F16">
        <f t="shared" si="0"/>
        <v>101.33333333333333</v>
      </c>
      <c r="G16">
        <f t="shared" si="1"/>
        <v>178.16666666666666</v>
      </c>
      <c r="H16">
        <f t="shared" si="2"/>
        <v>3.3333333333333286</v>
      </c>
      <c r="I16">
        <f t="shared" si="3"/>
        <v>3.3333333333333428</v>
      </c>
      <c r="J16">
        <f t="shared" si="4"/>
        <v>3.4013605442176825E-2</v>
      </c>
      <c r="K16">
        <f t="shared" si="5"/>
        <v>1.8365472910927508E-2</v>
      </c>
      <c r="N16" t="s">
        <v>11</v>
      </c>
      <c r="O16" t="s">
        <v>12</v>
      </c>
      <c r="P16">
        <f>AVERAGE(H5:H25)</f>
        <v>7.6190476190476186</v>
      </c>
      <c r="Q16">
        <f>AVERAGE(I5:I25)</f>
        <v>4.5507936507936506</v>
      </c>
    </row>
    <row r="17" spans="1:17" x14ac:dyDescent="0.3">
      <c r="A17">
        <v>16</v>
      </c>
      <c r="B17">
        <v>113</v>
      </c>
      <c r="C17">
        <v>193</v>
      </c>
      <c r="D17">
        <f>(1/$O$3)*(B15+B16+B17)</f>
        <v>101.33333333333333</v>
      </c>
      <c r="E17">
        <f>(1/$O$3)*(C15+C16+C17)</f>
        <v>183.66666666666666</v>
      </c>
      <c r="F17">
        <f t="shared" si="0"/>
        <v>98</v>
      </c>
      <c r="G17">
        <f t="shared" si="1"/>
        <v>179.13333333333333</v>
      </c>
      <c r="H17">
        <f t="shared" si="2"/>
        <v>15</v>
      </c>
      <c r="I17">
        <f t="shared" si="3"/>
        <v>13.866666666666674</v>
      </c>
      <c r="J17">
        <f t="shared" si="4"/>
        <v>0.13274336283185842</v>
      </c>
      <c r="K17">
        <f t="shared" si="5"/>
        <v>7.1848013816925779E-2</v>
      </c>
    </row>
    <row r="18" spans="1:17" x14ac:dyDescent="0.3">
      <c r="A18">
        <v>17</v>
      </c>
      <c r="B18">
        <v>103</v>
      </c>
      <c r="C18">
        <v>191.5</v>
      </c>
      <c r="D18">
        <f>(1/$O$3)*(B16+B17+B18)</f>
        <v>104.66666666666666</v>
      </c>
      <c r="E18">
        <f>(1/$O$3)*(C16+C17+C18)</f>
        <v>188.66666666666666</v>
      </c>
      <c r="F18">
        <f t="shared" si="0"/>
        <v>101.33333333333333</v>
      </c>
      <c r="G18">
        <f t="shared" si="1"/>
        <v>183.66666666666666</v>
      </c>
      <c r="H18">
        <f t="shared" si="2"/>
        <v>1.6666666666666714</v>
      </c>
      <c r="I18">
        <f t="shared" si="3"/>
        <v>7.8333333333333428</v>
      </c>
      <c r="J18">
        <f t="shared" si="4"/>
        <v>1.618122977346283E-2</v>
      </c>
      <c r="K18">
        <f t="shared" si="5"/>
        <v>4.0905134899913015E-2</v>
      </c>
      <c r="N18" t="s">
        <v>13</v>
      </c>
      <c r="O18" t="s">
        <v>12</v>
      </c>
      <c r="P18">
        <f>SUMSQ(H5:H25)/COUNT(H5:H25)</f>
        <v>79.100529100529101</v>
      </c>
      <c r="Q18">
        <f>SUMSQ(I5:I25)/COUNT(I5:I25)</f>
        <v>31.034550264550262</v>
      </c>
    </row>
    <row r="19" spans="1:17" x14ac:dyDescent="0.3">
      <c r="A19">
        <v>18</v>
      </c>
      <c r="B19">
        <v>93</v>
      </c>
      <c r="C19">
        <v>187.6</v>
      </c>
      <c r="D19">
        <f>(1/$O$3)*(B17+B18+B19)</f>
        <v>103</v>
      </c>
      <c r="E19">
        <f>(1/$O$3)*(C17+C18+C19)</f>
        <v>190.7</v>
      </c>
      <c r="F19">
        <f t="shared" si="0"/>
        <v>104.66666666666666</v>
      </c>
      <c r="G19">
        <f t="shared" si="1"/>
        <v>188.66666666666666</v>
      </c>
      <c r="H19">
        <f t="shared" si="2"/>
        <v>11.666666666666657</v>
      </c>
      <c r="I19">
        <f t="shared" si="3"/>
        <v>1.0666666666666629</v>
      </c>
      <c r="J19">
        <f t="shared" si="4"/>
        <v>0.12544802867383503</v>
      </c>
      <c r="K19">
        <f t="shared" si="5"/>
        <v>5.6858564321250688E-3</v>
      </c>
    </row>
    <row r="20" spans="1:17" x14ac:dyDescent="0.3">
      <c r="A20">
        <v>19</v>
      </c>
      <c r="B20">
        <v>103</v>
      </c>
      <c r="C20">
        <v>195.1</v>
      </c>
      <c r="D20">
        <f>(1/$O$3)*(B18+B19+B20)</f>
        <v>99.666666666666657</v>
      </c>
      <c r="E20">
        <f>(1/$O$3)*(C18+C19+C20)</f>
        <v>191.4</v>
      </c>
      <c r="F20">
        <f t="shared" si="0"/>
        <v>103</v>
      </c>
      <c r="G20">
        <f t="shared" si="1"/>
        <v>190.7</v>
      </c>
      <c r="H20">
        <f t="shared" si="2"/>
        <v>0</v>
      </c>
      <c r="I20">
        <f t="shared" si="3"/>
        <v>4.4000000000000057</v>
      </c>
      <c r="J20">
        <f t="shared" si="4"/>
        <v>0</v>
      </c>
      <c r="K20">
        <f t="shared" si="5"/>
        <v>2.255253716043058E-2</v>
      </c>
      <c r="N20" t="s">
        <v>16</v>
      </c>
      <c r="O20" t="s">
        <v>12</v>
      </c>
      <c r="P20">
        <f>SQRT(SUMSQ(H5:H25))/COUNT(H5:H25)</f>
        <v>1.940796708037696</v>
      </c>
      <c r="Q20">
        <f>SQRT(SUMSQ(I5:I25))/COUNT(I5:I25)</f>
        <v>1.2156626698567929</v>
      </c>
    </row>
    <row r="21" spans="1:17" x14ac:dyDescent="0.3">
      <c r="A21">
        <v>20</v>
      </c>
      <c r="B21">
        <v>108</v>
      </c>
      <c r="C21">
        <v>198.9</v>
      </c>
      <c r="D21">
        <f>(1/$O$3)*(B19+B20+B21)</f>
        <v>101.33333333333333</v>
      </c>
      <c r="E21">
        <f>(1/$O$3)*(C19+C20+C21)</f>
        <v>193.86666666666667</v>
      </c>
      <c r="F21">
        <f t="shared" si="0"/>
        <v>99.666666666666657</v>
      </c>
      <c r="G21">
        <f t="shared" si="1"/>
        <v>191.4</v>
      </c>
      <c r="H21">
        <f t="shared" si="2"/>
        <v>8.3333333333333428</v>
      </c>
      <c r="I21">
        <f t="shared" si="3"/>
        <v>7.5</v>
      </c>
      <c r="J21">
        <f t="shared" si="4"/>
        <v>7.7160493827160587E-2</v>
      </c>
      <c r="K21">
        <f t="shared" si="5"/>
        <v>3.7707390648567117E-2</v>
      </c>
    </row>
    <row r="22" spans="1:17" x14ac:dyDescent="0.3">
      <c r="A22">
        <v>21</v>
      </c>
      <c r="B22">
        <v>113</v>
      </c>
      <c r="C22">
        <v>202.7</v>
      </c>
      <c r="D22">
        <f>(1/$O$3)*(B20+B21+B22)</f>
        <v>108</v>
      </c>
      <c r="E22">
        <f>(1/$O$3)*(C20+C21+C22)</f>
        <v>198.9</v>
      </c>
      <c r="F22">
        <f t="shared" si="0"/>
        <v>101.33333333333333</v>
      </c>
      <c r="G22">
        <f t="shared" si="1"/>
        <v>193.86666666666667</v>
      </c>
      <c r="H22">
        <f t="shared" si="2"/>
        <v>11.666666666666671</v>
      </c>
      <c r="I22">
        <f t="shared" si="3"/>
        <v>8.8333333333333144</v>
      </c>
      <c r="J22">
        <f t="shared" si="4"/>
        <v>0.10324483775811213</v>
      </c>
      <c r="K22">
        <f t="shared" si="5"/>
        <v>4.3578358822561988E-2</v>
      </c>
      <c r="N22" t="s">
        <v>17</v>
      </c>
      <c r="O22" t="s">
        <v>12</v>
      </c>
      <c r="P22" s="3">
        <f>AVERAGE(J5:J25)</f>
        <v>7.661075482634723E-2</v>
      </c>
      <c r="Q22" s="3">
        <f>AVERAGE(K5:K25)</f>
        <v>2.4552775587114127E-2</v>
      </c>
    </row>
    <row r="23" spans="1:17" x14ac:dyDescent="0.3">
      <c r="A23">
        <v>22</v>
      </c>
      <c r="B23">
        <v>103</v>
      </c>
      <c r="C23">
        <v>200.1</v>
      </c>
      <c r="D23">
        <f>(1/$O$3)*(B21+B22+B23)</f>
        <v>108</v>
      </c>
      <c r="E23">
        <f>(1/$O$3)*(C21+C22+C23)</f>
        <v>200.56666666666666</v>
      </c>
      <c r="F23">
        <f t="shared" si="0"/>
        <v>108</v>
      </c>
      <c r="G23">
        <f t="shared" si="1"/>
        <v>198.9</v>
      </c>
      <c r="H23">
        <f t="shared" si="2"/>
        <v>5</v>
      </c>
      <c r="I23">
        <f t="shared" si="3"/>
        <v>1.1999999999999886</v>
      </c>
      <c r="J23">
        <f t="shared" si="4"/>
        <v>4.8543689320388349E-2</v>
      </c>
      <c r="K23">
        <f t="shared" si="5"/>
        <v>5.9970014992503182E-3</v>
      </c>
    </row>
    <row r="24" spans="1:17" x14ac:dyDescent="0.3">
      <c r="A24">
        <v>23</v>
      </c>
      <c r="B24">
        <v>88</v>
      </c>
      <c r="C24">
        <v>193.5</v>
      </c>
      <c r="D24">
        <f>(1/$O$3)*(B22+B23+B24)</f>
        <v>101.33333333333333</v>
      </c>
      <c r="E24">
        <f>(1/$O$3)*(C22+C23+C24)</f>
        <v>198.76666666666665</v>
      </c>
      <c r="F24">
        <f t="shared" si="0"/>
        <v>108</v>
      </c>
      <c r="G24">
        <f t="shared" si="1"/>
        <v>200.56666666666666</v>
      </c>
      <c r="H24">
        <f>ABS(B24-F24)</f>
        <v>20</v>
      </c>
      <c r="I24">
        <f t="shared" si="3"/>
        <v>7.0666666666666629</v>
      </c>
      <c r="J24">
        <f t="shared" si="4"/>
        <v>0.22727272727272727</v>
      </c>
      <c r="K24">
        <f t="shared" si="5"/>
        <v>3.6520241171403942E-2</v>
      </c>
    </row>
    <row r="25" spans="1:17" x14ac:dyDescent="0.3">
      <c r="A25">
        <v>24</v>
      </c>
      <c r="B25">
        <v>93</v>
      </c>
      <c r="C25">
        <v>198.9</v>
      </c>
      <c r="D25">
        <f>(1/$O$3)*(B23+B24+B25)</f>
        <v>94.666666666666657</v>
      </c>
      <c r="E25">
        <f>(1/$O$3)*(C23+C24+C25)</f>
        <v>197.5</v>
      </c>
      <c r="F25">
        <f t="shared" si="0"/>
        <v>101.33333333333333</v>
      </c>
      <c r="G25">
        <f t="shared" si="1"/>
        <v>198.76666666666665</v>
      </c>
      <c r="H25">
        <f t="shared" si="2"/>
        <v>8.3333333333333286</v>
      </c>
      <c r="I25">
        <f t="shared" si="3"/>
        <v>0.13333333333335418</v>
      </c>
      <c r="J25">
        <f t="shared" si="4"/>
        <v>8.9605734767025033E-2</v>
      </c>
      <c r="K25">
        <f t="shared" si="5"/>
        <v>6.7035361153018689E-4</v>
      </c>
    </row>
    <row r="26" spans="1:17" x14ac:dyDescent="0.3">
      <c r="A26">
        <v>25</v>
      </c>
      <c r="B26" s="2" t="s">
        <v>6</v>
      </c>
      <c r="C26" s="2" t="s">
        <v>6</v>
      </c>
      <c r="D26" s="2" t="s">
        <v>6</v>
      </c>
      <c r="E26" s="2" t="s">
        <v>6</v>
      </c>
      <c r="F26">
        <f>D25</f>
        <v>94.666666666666657</v>
      </c>
      <c r="G26">
        <f t="shared" si="1"/>
        <v>197.5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1B82-38EB-46E9-BB98-C53D5525C205}">
  <dimension ref="A1:V28"/>
  <sheetViews>
    <sheetView topLeftCell="C1" zoomScale="70" zoomScaleNormal="70" workbookViewId="0">
      <selection activeCell="J30" sqref="J30"/>
    </sheetView>
  </sheetViews>
  <sheetFormatPr defaultRowHeight="14.4" x14ac:dyDescent="0.3"/>
  <cols>
    <col min="4" max="4" width="15.5546875" bestFit="1" customWidth="1"/>
    <col min="5" max="5" width="14.33203125" bestFit="1" customWidth="1"/>
    <col min="8" max="8" width="13.33203125" bestFit="1" customWidth="1"/>
    <col min="14" max="14" width="13.44140625" bestFit="1" customWidth="1"/>
    <col min="15" max="15" width="12.109375" bestFit="1" customWidth="1"/>
    <col min="17" max="17" width="11.21875" customWidth="1"/>
    <col min="19" max="19" width="33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26</v>
      </c>
      <c r="G1" t="s">
        <v>25</v>
      </c>
      <c r="H1" t="s">
        <v>27</v>
      </c>
      <c r="I1" t="s">
        <v>28</v>
      </c>
      <c r="J1" t="s">
        <v>29</v>
      </c>
      <c r="K1" t="s">
        <v>30</v>
      </c>
      <c r="L1" t="s">
        <v>7</v>
      </c>
      <c r="M1" t="s">
        <v>8</v>
      </c>
      <c r="N1" t="s">
        <v>31</v>
      </c>
      <c r="O1" t="s">
        <v>32</v>
      </c>
    </row>
    <row r="2" spans="1:22" x14ac:dyDescent="0.3">
      <c r="A2">
        <v>1</v>
      </c>
      <c r="B2">
        <v>113</v>
      </c>
      <c r="C2">
        <v>180.8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</row>
    <row r="3" spans="1:22" x14ac:dyDescent="0.3">
      <c r="A3">
        <v>2</v>
      </c>
      <c r="B3">
        <v>88</v>
      </c>
      <c r="C3">
        <v>167.2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6</v>
      </c>
      <c r="S3" t="s">
        <v>23</v>
      </c>
      <c r="T3">
        <v>3</v>
      </c>
    </row>
    <row r="4" spans="1:22" x14ac:dyDescent="0.3">
      <c r="A4">
        <v>3</v>
      </c>
      <c r="B4">
        <v>103</v>
      </c>
      <c r="C4">
        <v>172.5</v>
      </c>
      <c r="D4">
        <f>(1/$T$3)*(B2+B3+B4)</f>
        <v>101.33333333333333</v>
      </c>
      <c r="E4">
        <f>(1/$T$3)*(C2+C3+C4)</f>
        <v>173.5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S4" t="s">
        <v>24</v>
      </c>
    </row>
    <row r="5" spans="1:22" x14ac:dyDescent="0.3">
      <c r="A5">
        <v>4</v>
      </c>
      <c r="B5">
        <v>98</v>
      </c>
      <c r="C5">
        <v>171</v>
      </c>
      <c r="D5">
        <f>(1/$T$3)*(B3+B4+B5)</f>
        <v>96.333333333333329</v>
      </c>
      <c r="E5">
        <f>(1/$T$3)*(C3+C4+C5)</f>
        <v>170.23333333333332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S5" t="s">
        <v>9</v>
      </c>
    </row>
    <row r="6" spans="1:22" x14ac:dyDescent="0.3">
      <c r="A6">
        <v>5</v>
      </c>
      <c r="B6">
        <v>108</v>
      </c>
      <c r="C6">
        <v>176.1</v>
      </c>
      <c r="D6">
        <f>(1/$T$3)*(B4+B5+B6)</f>
        <v>103</v>
      </c>
      <c r="E6">
        <f>(1/$T$3)*(C4+C5+C6)</f>
        <v>173.2</v>
      </c>
      <c r="F6">
        <f>(1/$T$3)*(D4+D5+D6)</f>
        <v>100.2222222222222</v>
      </c>
      <c r="G6">
        <f>(1/$T$3)*(E4+E5+E6)</f>
        <v>172.31111111111113</v>
      </c>
      <c r="H6">
        <f>2*D6-F6</f>
        <v>105.7777777777778</v>
      </c>
      <c r="I6">
        <f>2*E6-G6</f>
        <v>174.08888888888885</v>
      </c>
      <c r="J6">
        <f>(2/($T$3-1))*(D6-F6)</f>
        <v>2.7777777777777999</v>
      </c>
      <c r="K6">
        <f>(2/($T$3-1))*(E6-G6)</f>
        <v>0.88888888888885731</v>
      </c>
      <c r="L6" s="1" t="s">
        <v>6</v>
      </c>
      <c r="M6" s="1" t="s">
        <v>6</v>
      </c>
      <c r="N6" s="1" t="s">
        <v>6</v>
      </c>
      <c r="O6" s="1" t="s">
        <v>6</v>
      </c>
    </row>
    <row r="7" spans="1:22" x14ac:dyDescent="0.3">
      <c r="A7">
        <v>6</v>
      </c>
      <c r="B7">
        <v>98</v>
      </c>
      <c r="C7">
        <v>171.9</v>
      </c>
      <c r="D7">
        <f>(1/$T$3)*(B5+B6+B7)</f>
        <v>101.33333333333333</v>
      </c>
      <c r="E7">
        <f>(1/$T$3)*(C5+C6+C7)</f>
        <v>173</v>
      </c>
      <c r="F7">
        <f>(1/$T$3)*(D5+D6+D7)</f>
        <v>100.2222222222222</v>
      </c>
      <c r="G7">
        <f>(1/$T$3)*(E5+E6+E7)</f>
        <v>172.14444444444442</v>
      </c>
      <c r="H7">
        <f t="shared" ref="H7:H25" si="0">2*D7-F7</f>
        <v>102.44444444444446</v>
      </c>
      <c r="I7">
        <f t="shared" ref="I7:I25" si="1">2*E7-G7</f>
        <v>173.85555555555558</v>
      </c>
      <c r="J7">
        <f>(2/($T$3-1))*(D7-F7)</f>
        <v>1.1111111111111285</v>
      </c>
      <c r="K7">
        <f>(2/($T$3-1))*(E7-G7)</f>
        <v>0.85555555555558271</v>
      </c>
      <c r="L7">
        <f>H6+J6*1</f>
        <v>108.5555555555556</v>
      </c>
      <c r="M7">
        <f>I6+K6*1</f>
        <v>174.9777777777777</v>
      </c>
      <c r="N7">
        <f>ABS(L7-B7)</f>
        <v>10.5555555555556</v>
      </c>
      <c r="O7">
        <f>ABS(M7-C7)</f>
        <v>3.0777777777776976</v>
      </c>
      <c r="P7">
        <f>N7/B7</f>
        <v>0.10770975056689387</v>
      </c>
      <c r="Q7">
        <f>O7/C7</f>
        <v>1.7904466421045359E-2</v>
      </c>
    </row>
    <row r="8" spans="1:22" x14ac:dyDescent="0.3">
      <c r="A8">
        <v>7</v>
      </c>
      <c r="B8">
        <v>93</v>
      </c>
      <c r="C8">
        <v>167.9</v>
      </c>
      <c r="D8">
        <f>(1/$T$3)*(B6+B7+B8)</f>
        <v>99.666666666666657</v>
      </c>
      <c r="E8">
        <f>(1/$T$3)*(C6+C7+C8)</f>
        <v>171.96666666666664</v>
      </c>
      <c r="F8">
        <f>(1/$T$3)*(D6+D7+D8)</f>
        <v>101.33333333333333</v>
      </c>
      <c r="G8">
        <f>(1/$T$3)*(E6+E7+E8)</f>
        <v>172.7222222222222</v>
      </c>
      <c r="H8">
        <f t="shared" si="0"/>
        <v>97.999999999999986</v>
      </c>
      <c r="I8">
        <f t="shared" si="1"/>
        <v>171.21111111111108</v>
      </c>
      <c r="J8">
        <f>(2/($T$3-1))*(D8-F8)</f>
        <v>-1.6666666666666714</v>
      </c>
      <c r="K8">
        <f>(2/($T$3-1))*(E8-G8)</f>
        <v>-0.75555555555555998</v>
      </c>
      <c r="L8">
        <f t="shared" ref="L8:L28" si="2">H7+J7*1</f>
        <v>103.55555555555559</v>
      </c>
      <c r="M8">
        <f t="shared" ref="M8:M26" si="3">I7+K7*1</f>
        <v>174.71111111111117</v>
      </c>
      <c r="N8">
        <f t="shared" ref="N8:N25" si="4">ABS(L8-B8)</f>
        <v>10.555555555555586</v>
      </c>
      <c r="O8">
        <f t="shared" ref="O8:O25" si="5">ABS(M8-C8)</f>
        <v>6.8111111111111597</v>
      </c>
      <c r="P8">
        <f t="shared" ref="P8:P25" si="6">N8/B8</f>
        <v>0.11350059737156544</v>
      </c>
      <c r="Q8">
        <f t="shared" ref="Q8:Q25" si="7">O8/C8</f>
        <v>4.0566474753491122E-2</v>
      </c>
    </row>
    <row r="9" spans="1:22" x14ac:dyDescent="0.3">
      <c r="A9">
        <v>8</v>
      </c>
      <c r="B9">
        <v>93</v>
      </c>
      <c r="C9">
        <v>169.1</v>
      </c>
      <c r="D9">
        <f>(1/$T$3)*(B7+B8+B9)</f>
        <v>94.666666666666657</v>
      </c>
      <c r="E9">
        <f>(1/$T$3)*(C7+C8+C9)</f>
        <v>169.63333333333333</v>
      </c>
      <c r="F9">
        <f>(1/$T$3)*(D7+D8+D9)</f>
        <v>98.555555555555543</v>
      </c>
      <c r="G9">
        <f>(1/$T$3)*(E7+E8+E9)</f>
        <v>171.5333333333333</v>
      </c>
      <c r="H9">
        <f t="shared" si="0"/>
        <v>90.777777777777771</v>
      </c>
      <c r="I9">
        <f t="shared" si="1"/>
        <v>167.73333333333335</v>
      </c>
      <c r="J9">
        <f>(2/($T$3-1))*(D9-F9)</f>
        <v>-3.8888888888888857</v>
      </c>
      <c r="K9">
        <f>(2/($T$3-1))*(E9-G9)</f>
        <v>-1.8999999999999773</v>
      </c>
      <c r="L9">
        <f t="shared" si="2"/>
        <v>96.333333333333314</v>
      </c>
      <c r="M9">
        <f t="shared" si="3"/>
        <v>170.45555555555552</v>
      </c>
      <c r="N9">
        <f t="shared" si="4"/>
        <v>3.3333333333333144</v>
      </c>
      <c r="O9">
        <f t="shared" si="5"/>
        <v>1.3555555555555259</v>
      </c>
      <c r="P9">
        <f t="shared" si="6"/>
        <v>3.5842293906809833E-2</v>
      </c>
      <c r="Q9">
        <f t="shared" si="7"/>
        <v>8.0162954201982613E-3</v>
      </c>
    </row>
    <row r="10" spans="1:22" x14ac:dyDescent="0.3">
      <c r="A10">
        <v>9</v>
      </c>
      <c r="B10">
        <v>103</v>
      </c>
      <c r="C10">
        <v>174.4</v>
      </c>
      <c r="D10">
        <f>(1/$T$3)*(B8+B9+B10)</f>
        <v>96.333333333333329</v>
      </c>
      <c r="E10">
        <f>(1/$T$3)*(C8+C9+C10)</f>
        <v>170.46666666666664</v>
      </c>
      <c r="F10">
        <f>(1/$T$3)*(D8+D9+D10)</f>
        <v>96.888888888888872</v>
      </c>
      <c r="G10">
        <f>(1/$T$3)*(E8+E9+E10)</f>
        <v>170.68888888888887</v>
      </c>
      <c r="H10">
        <f t="shared" si="0"/>
        <v>95.777777777777786</v>
      </c>
      <c r="I10">
        <f t="shared" si="1"/>
        <v>170.24444444444441</v>
      </c>
      <c r="J10">
        <f>(2/($T$3-1))*(D10-F10)</f>
        <v>-0.55555555555554292</v>
      </c>
      <c r="K10">
        <f>(2/($T$3-1))*(E10-G10)</f>
        <v>-0.22222222222222854</v>
      </c>
      <c r="L10">
        <f t="shared" si="2"/>
        <v>86.888888888888886</v>
      </c>
      <c r="M10">
        <f t="shared" si="3"/>
        <v>165.83333333333337</v>
      </c>
      <c r="N10">
        <f t="shared" si="4"/>
        <v>16.111111111111114</v>
      </c>
      <c r="O10">
        <f t="shared" si="5"/>
        <v>8.5666666666666345</v>
      </c>
      <c r="P10">
        <f t="shared" si="6"/>
        <v>0.15641855447680694</v>
      </c>
      <c r="Q10">
        <f t="shared" si="7"/>
        <v>4.9120795107033453E-2</v>
      </c>
      <c r="S10" t="s">
        <v>10</v>
      </c>
    </row>
    <row r="11" spans="1:22" x14ac:dyDescent="0.3">
      <c r="A11">
        <v>10</v>
      </c>
      <c r="B11">
        <v>103</v>
      </c>
      <c r="C11">
        <v>174.3</v>
      </c>
      <c r="D11">
        <f>(1/$T$3)*(B9+B10+B11)</f>
        <v>99.666666666666657</v>
      </c>
      <c r="E11">
        <f>(1/$T$3)*(C9+C10+C11)</f>
        <v>172.59999999999997</v>
      </c>
      <c r="F11">
        <f>(1/$T$3)*(D9+D10+D11)</f>
        <v>96.888888888888872</v>
      </c>
      <c r="G11">
        <f>(1/$T$3)*(E9+E10+E11)</f>
        <v>170.89999999999998</v>
      </c>
      <c r="H11">
        <f t="shared" si="0"/>
        <v>102.44444444444444</v>
      </c>
      <c r="I11">
        <f t="shared" si="1"/>
        <v>174.29999999999995</v>
      </c>
      <c r="J11">
        <f>(2/($T$3-1))*(D11-F11)</f>
        <v>2.7777777777777857</v>
      </c>
      <c r="K11">
        <f>(2/($T$3-1))*(E11-G11)</f>
        <v>1.6999999999999886</v>
      </c>
      <c r="L11">
        <f t="shared" si="2"/>
        <v>95.222222222222243</v>
      </c>
      <c r="M11">
        <f t="shared" si="3"/>
        <v>170.02222222222218</v>
      </c>
      <c r="N11">
        <f t="shared" si="4"/>
        <v>7.7777777777777573</v>
      </c>
      <c r="O11">
        <f t="shared" si="5"/>
        <v>4.2777777777778283</v>
      </c>
      <c r="P11">
        <f t="shared" si="6"/>
        <v>7.5512405609492794E-2</v>
      </c>
      <c r="Q11">
        <f t="shared" si="7"/>
        <v>2.4542614904060976E-2</v>
      </c>
    </row>
    <row r="12" spans="1:22" x14ac:dyDescent="0.3">
      <c r="A12">
        <v>11</v>
      </c>
      <c r="B12">
        <v>93</v>
      </c>
      <c r="C12">
        <v>169.9</v>
      </c>
      <c r="D12">
        <f>(1/$T$3)*(B10+B11+B12)</f>
        <v>99.666666666666657</v>
      </c>
      <c r="E12">
        <f>(1/$T$3)*(C10+C11+C12)</f>
        <v>172.86666666666667</v>
      </c>
      <c r="F12">
        <f>(1/$T$3)*(D10+D11+D12)</f>
        <v>98.555555555555543</v>
      </c>
      <c r="G12">
        <f>(1/$T$3)*(E10+E11+E12)</f>
        <v>171.97777777777776</v>
      </c>
      <c r="H12">
        <f t="shared" si="0"/>
        <v>100.77777777777777</v>
      </c>
      <c r="I12">
        <f t="shared" si="1"/>
        <v>173.75555555555559</v>
      </c>
      <c r="J12">
        <f>(2/($T$3-1))*(D12-F12)</f>
        <v>1.1111111111111143</v>
      </c>
      <c r="K12">
        <f>(2/($T$3-1))*(E12-G12)</f>
        <v>0.88888888888891415</v>
      </c>
      <c r="L12">
        <f t="shared" si="2"/>
        <v>105.22222222222223</v>
      </c>
      <c r="M12">
        <f t="shared" si="3"/>
        <v>175.99999999999994</v>
      </c>
      <c r="N12">
        <f t="shared" si="4"/>
        <v>12.222222222222229</v>
      </c>
      <c r="O12">
        <f t="shared" si="5"/>
        <v>6.0999999999999375</v>
      </c>
      <c r="P12">
        <f t="shared" si="6"/>
        <v>0.1314217443249702</v>
      </c>
      <c r="Q12">
        <f t="shared" si="7"/>
        <v>3.590347263095902E-2</v>
      </c>
    </row>
    <row r="13" spans="1:22" x14ac:dyDescent="0.3">
      <c r="A13">
        <v>12</v>
      </c>
      <c r="B13">
        <v>108</v>
      </c>
      <c r="C13">
        <v>178.6</v>
      </c>
      <c r="D13">
        <f>(1/$T$3)*(B11+B12+B13)</f>
        <v>101.33333333333333</v>
      </c>
      <c r="E13">
        <f>(1/$T$3)*(C11+C12+C13)</f>
        <v>174.26666666666668</v>
      </c>
      <c r="F13">
        <f>(1/$T$3)*(D11+D12+D13)</f>
        <v>100.2222222222222</v>
      </c>
      <c r="G13">
        <f>(1/$T$3)*(E11+E12+E13)</f>
        <v>173.24444444444444</v>
      </c>
      <c r="H13">
        <f t="shared" si="0"/>
        <v>102.44444444444446</v>
      </c>
      <c r="I13">
        <f t="shared" si="1"/>
        <v>175.28888888888892</v>
      </c>
      <c r="J13">
        <f>(2/($T$3-1))*(D13-F13)</f>
        <v>1.1111111111111285</v>
      </c>
      <c r="K13">
        <f>(2/($T$3-1))*(E13-G13)</f>
        <v>1.0222222222222399</v>
      </c>
      <c r="L13">
        <f t="shared" si="2"/>
        <v>101.88888888888889</v>
      </c>
      <c r="M13">
        <f t="shared" si="3"/>
        <v>174.6444444444445</v>
      </c>
      <c r="N13">
        <f t="shared" si="4"/>
        <v>6.1111111111111143</v>
      </c>
      <c r="O13">
        <f t="shared" si="5"/>
        <v>3.9555555555554918</v>
      </c>
      <c r="P13">
        <f t="shared" si="6"/>
        <v>5.6584362139917722E-2</v>
      </c>
      <c r="Q13">
        <f t="shared" si="7"/>
        <v>2.2147567500310706E-2</v>
      </c>
    </row>
    <row r="14" spans="1:22" x14ac:dyDescent="0.3">
      <c r="A14">
        <v>13</v>
      </c>
      <c r="B14">
        <v>103</v>
      </c>
      <c r="C14">
        <v>179.4</v>
      </c>
      <c r="D14">
        <f>(1/$T$3)*(B12+B13+B14)</f>
        <v>101.33333333333333</v>
      </c>
      <c r="E14">
        <f>(1/$T$3)*(C12+C13+C14)</f>
        <v>175.96666666666664</v>
      </c>
      <c r="F14">
        <f>(1/$T$3)*(D12+D13+D14)</f>
        <v>100.77777777777777</v>
      </c>
      <c r="G14">
        <f>(1/$T$3)*(E12+E13+E14)</f>
        <v>174.36666666666662</v>
      </c>
      <c r="H14">
        <f t="shared" si="0"/>
        <v>101.88888888888889</v>
      </c>
      <c r="I14">
        <f t="shared" si="1"/>
        <v>177.56666666666666</v>
      </c>
      <c r="J14">
        <f>(2/($T$3-1))*(D14-F14)</f>
        <v>0.55555555555555713</v>
      </c>
      <c r="K14">
        <f>(2/($T$3-1))*(E14-G14)</f>
        <v>1.6000000000000227</v>
      </c>
      <c r="L14">
        <f t="shared" si="2"/>
        <v>103.55555555555559</v>
      </c>
      <c r="M14">
        <f t="shared" si="3"/>
        <v>176.31111111111116</v>
      </c>
      <c r="N14">
        <f t="shared" si="4"/>
        <v>0.55555555555558556</v>
      </c>
      <c r="O14">
        <f t="shared" si="5"/>
        <v>3.0888888888888459</v>
      </c>
      <c r="P14">
        <f t="shared" si="6"/>
        <v>5.3937432578212187E-3</v>
      </c>
      <c r="Q14">
        <f t="shared" si="7"/>
        <v>1.7217886783103934E-2</v>
      </c>
      <c r="S14" t="s">
        <v>33</v>
      </c>
    </row>
    <row r="15" spans="1:22" x14ac:dyDescent="0.3">
      <c r="A15">
        <v>14</v>
      </c>
      <c r="B15">
        <v>93</v>
      </c>
      <c r="C15">
        <v>176.5</v>
      </c>
      <c r="D15">
        <f>(1/$T$3)*(B13+B14+B15)</f>
        <v>101.33333333333333</v>
      </c>
      <c r="E15">
        <f>(1/$T$3)*(C13+C14+C15)</f>
        <v>178.16666666666666</v>
      </c>
      <c r="F15">
        <f>(1/$T$3)*(D13+D14+D15)</f>
        <v>101.33333333333333</v>
      </c>
      <c r="G15">
        <f>(1/$T$3)*(E13+E14+E15)</f>
        <v>176.13333333333333</v>
      </c>
      <c r="H15">
        <f t="shared" si="0"/>
        <v>101.33333333333333</v>
      </c>
      <c r="I15">
        <f t="shared" si="1"/>
        <v>180.2</v>
      </c>
      <c r="J15">
        <f>(2/($T$3-1))*(D15-F15)</f>
        <v>0</v>
      </c>
      <c r="K15">
        <f>(2/($T$3-1))*(E15-G15)</f>
        <v>2.0333333333333314</v>
      </c>
      <c r="L15">
        <f t="shared" si="2"/>
        <v>102.44444444444444</v>
      </c>
      <c r="M15">
        <f t="shared" si="3"/>
        <v>179.16666666666669</v>
      </c>
      <c r="N15">
        <f t="shared" si="4"/>
        <v>9.4444444444444429</v>
      </c>
      <c r="O15">
        <f t="shared" si="5"/>
        <v>2.6666666666666856</v>
      </c>
      <c r="P15">
        <f t="shared" si="6"/>
        <v>0.10155316606929508</v>
      </c>
      <c r="Q15">
        <f t="shared" si="7"/>
        <v>1.5108593012275838E-2</v>
      </c>
      <c r="U15" t="s">
        <v>18</v>
      </c>
      <c r="V15" t="s">
        <v>19</v>
      </c>
    </row>
    <row r="16" spans="1:22" x14ac:dyDescent="0.3">
      <c r="A16">
        <v>15</v>
      </c>
      <c r="B16">
        <v>98</v>
      </c>
      <c r="C16">
        <v>181.5</v>
      </c>
      <c r="D16">
        <f>(1/$T$3)*(B14+B15+B16)</f>
        <v>98</v>
      </c>
      <c r="E16">
        <f>(1/$T$3)*(C14+C15+C16)</f>
        <v>179.13333333333333</v>
      </c>
      <c r="F16">
        <f>(1/$T$3)*(D14+D15+D16)</f>
        <v>100.2222222222222</v>
      </c>
      <c r="G16">
        <f>(1/$T$3)*(E14+E15+E16)</f>
        <v>177.75555555555553</v>
      </c>
      <c r="H16">
        <f t="shared" si="0"/>
        <v>95.7777777777778</v>
      </c>
      <c r="I16">
        <f t="shared" si="1"/>
        <v>180.51111111111112</v>
      </c>
      <c r="J16">
        <f>(2/($T$3-1))*(D16-F16)</f>
        <v>-2.2222222222222001</v>
      </c>
      <c r="K16">
        <f>(2/($T$3-1))*(E16-G16)</f>
        <v>1.3777777777777942</v>
      </c>
      <c r="L16">
        <f t="shared" si="2"/>
        <v>101.33333333333333</v>
      </c>
      <c r="M16">
        <f t="shared" si="3"/>
        <v>182.23333333333332</v>
      </c>
      <c r="N16">
        <f t="shared" si="4"/>
        <v>3.3333333333333286</v>
      </c>
      <c r="O16">
        <f t="shared" si="5"/>
        <v>0.73333333333332007</v>
      </c>
      <c r="P16">
        <f t="shared" si="6"/>
        <v>3.4013605442176825E-2</v>
      </c>
      <c r="Q16">
        <f t="shared" si="7"/>
        <v>4.0404040404039675E-3</v>
      </c>
      <c r="S16" t="s">
        <v>11</v>
      </c>
      <c r="T16" t="s">
        <v>12</v>
      </c>
      <c r="U16">
        <f>AVERAGE(N7:N25)</f>
        <v>9.6783625730994167</v>
      </c>
      <c r="V16">
        <f>AVERAGE(O7:O25)</f>
        <v>5.094736842105255</v>
      </c>
    </row>
    <row r="17" spans="1:22" x14ac:dyDescent="0.3">
      <c r="A17">
        <v>16</v>
      </c>
      <c r="B17">
        <v>113</v>
      </c>
      <c r="C17">
        <v>193</v>
      </c>
      <c r="D17">
        <f>(1/$T$3)*(B15+B16+B17)</f>
        <v>101.33333333333333</v>
      </c>
      <c r="E17">
        <f>(1/$T$3)*(C15+C16+C17)</f>
        <v>183.66666666666666</v>
      </c>
      <c r="F17">
        <f>(1/$T$3)*(D15+D16+D17)</f>
        <v>100.2222222222222</v>
      </c>
      <c r="G17">
        <f>(1/$T$3)*(E15+E16+E17)</f>
        <v>180.32222222222219</v>
      </c>
      <c r="H17">
        <f t="shared" si="0"/>
        <v>102.44444444444446</v>
      </c>
      <c r="I17">
        <f t="shared" si="1"/>
        <v>187.01111111111112</v>
      </c>
      <c r="J17">
        <f>(2/($T$3-1))*(D17-F17)</f>
        <v>1.1111111111111285</v>
      </c>
      <c r="K17">
        <f>(2/($T$3-1))*(E17-G17)</f>
        <v>3.3444444444444628</v>
      </c>
      <c r="L17">
        <f t="shared" si="2"/>
        <v>93.5555555555556</v>
      </c>
      <c r="M17">
        <f t="shared" si="3"/>
        <v>181.88888888888891</v>
      </c>
      <c r="N17">
        <f t="shared" si="4"/>
        <v>19.4444444444444</v>
      </c>
      <c r="O17">
        <f t="shared" si="5"/>
        <v>11.111111111111086</v>
      </c>
      <c r="P17">
        <f t="shared" si="6"/>
        <v>0.1720747295968531</v>
      </c>
      <c r="Q17">
        <f t="shared" si="7"/>
        <v>5.7570523891767283E-2</v>
      </c>
    </row>
    <row r="18" spans="1:22" x14ac:dyDescent="0.3">
      <c r="A18">
        <v>17</v>
      </c>
      <c r="B18">
        <v>103</v>
      </c>
      <c r="C18">
        <v>191.5</v>
      </c>
      <c r="D18">
        <f>(1/$T$3)*(B16+B17+B18)</f>
        <v>104.66666666666666</v>
      </c>
      <c r="E18">
        <f>(1/$T$3)*(C16+C17+C18)</f>
        <v>188.66666666666666</v>
      </c>
      <c r="F18">
        <f>(1/$T$3)*(D16+D17+D18)</f>
        <v>101.33333333333333</v>
      </c>
      <c r="G18">
        <f>(1/$T$3)*(E16+E17+E18)</f>
        <v>183.82222222222219</v>
      </c>
      <c r="H18">
        <f t="shared" si="0"/>
        <v>107.99999999999999</v>
      </c>
      <c r="I18">
        <f t="shared" si="1"/>
        <v>193.51111111111112</v>
      </c>
      <c r="J18">
        <f>(2/($T$3-1))*(D18-F18)</f>
        <v>3.3333333333333286</v>
      </c>
      <c r="K18">
        <f>(2/($T$3-1))*(E18-G18)</f>
        <v>4.8444444444444628</v>
      </c>
      <c r="L18">
        <f t="shared" si="2"/>
        <v>103.55555555555559</v>
      </c>
      <c r="M18">
        <f t="shared" si="3"/>
        <v>190.35555555555558</v>
      </c>
      <c r="N18">
        <f t="shared" si="4"/>
        <v>0.55555555555558556</v>
      </c>
      <c r="O18">
        <f t="shared" si="5"/>
        <v>1.1444444444444173</v>
      </c>
      <c r="P18">
        <f t="shared" si="6"/>
        <v>5.3937432578212187E-3</v>
      </c>
      <c r="Q18">
        <f t="shared" si="7"/>
        <v>5.9762111981431715E-3</v>
      </c>
      <c r="S18" t="s">
        <v>13</v>
      </c>
      <c r="T18" t="s">
        <v>12</v>
      </c>
      <c r="U18">
        <f>SUMSQ(N7:N25)/COUNT(N7:N25)</f>
        <v>142.51137102014295</v>
      </c>
      <c r="V18">
        <f>SUMSQ(O7:O25)/COUNT(O7:O25)</f>
        <v>38.349161793372311</v>
      </c>
    </row>
    <row r="19" spans="1:22" x14ac:dyDescent="0.3">
      <c r="A19">
        <v>18</v>
      </c>
      <c r="B19">
        <v>93</v>
      </c>
      <c r="C19">
        <v>187.6</v>
      </c>
      <c r="D19">
        <f>(1/$T$3)*(B17+B18+B19)</f>
        <v>103</v>
      </c>
      <c r="E19">
        <f>(1/$T$3)*(C17+C18+C19)</f>
        <v>190.7</v>
      </c>
      <c r="F19">
        <f>(1/$T$3)*(D17+D18+D19)</f>
        <v>103</v>
      </c>
      <c r="G19">
        <f>(1/$T$3)*(E17+E18+E19)</f>
        <v>187.67777777777775</v>
      </c>
      <c r="H19">
        <f t="shared" si="0"/>
        <v>103</v>
      </c>
      <c r="I19">
        <f t="shared" si="1"/>
        <v>193.72222222222223</v>
      </c>
      <c r="J19">
        <f>(2/($T$3-1))*(D19-F19)</f>
        <v>0</v>
      </c>
      <c r="K19">
        <f>(2/($T$3-1))*(E19-G19)</f>
        <v>3.0222222222222399</v>
      </c>
      <c r="L19">
        <f t="shared" si="2"/>
        <v>111.33333333333331</v>
      </c>
      <c r="M19">
        <f t="shared" si="3"/>
        <v>198.35555555555558</v>
      </c>
      <c r="N19">
        <f t="shared" si="4"/>
        <v>18.333333333333314</v>
      </c>
      <c r="O19">
        <f t="shared" si="5"/>
        <v>10.755555555555588</v>
      </c>
      <c r="P19">
        <f t="shared" si="6"/>
        <v>0.197132616487455</v>
      </c>
      <c r="Q19">
        <f t="shared" si="7"/>
        <v>5.7332385690594824E-2</v>
      </c>
    </row>
    <row r="20" spans="1:22" x14ac:dyDescent="0.3">
      <c r="A20">
        <v>19</v>
      </c>
      <c r="B20">
        <v>103</v>
      </c>
      <c r="C20">
        <v>195.1</v>
      </c>
      <c r="D20">
        <f>(1/$T$3)*(B18+B19+B20)</f>
        <v>99.666666666666657</v>
      </c>
      <c r="E20">
        <f>(1/$T$3)*(C18+C19+C20)</f>
        <v>191.4</v>
      </c>
      <c r="F20">
        <f>(1/$T$3)*(D18+D19+D20)</f>
        <v>102.44444444444443</v>
      </c>
      <c r="G20">
        <f>(1/$T$3)*(E18+E19+E20)</f>
        <v>190.25555555555553</v>
      </c>
      <c r="H20">
        <f t="shared" si="0"/>
        <v>96.888888888888886</v>
      </c>
      <c r="I20">
        <f t="shared" si="1"/>
        <v>192.54444444444448</v>
      </c>
      <c r="J20">
        <f>(2/($T$3-1))*(D20-F20)</f>
        <v>-2.7777777777777715</v>
      </c>
      <c r="K20">
        <f>(2/($T$3-1))*(E20-G20)</f>
        <v>1.1444444444444741</v>
      </c>
      <c r="L20">
        <f t="shared" si="2"/>
        <v>103</v>
      </c>
      <c r="M20">
        <f t="shared" si="3"/>
        <v>196.74444444444447</v>
      </c>
      <c r="N20">
        <f t="shared" si="4"/>
        <v>0</v>
      </c>
      <c r="O20">
        <f t="shared" si="5"/>
        <v>1.6444444444444741</v>
      </c>
      <c r="P20">
        <f t="shared" si="6"/>
        <v>0</v>
      </c>
      <c r="Q20">
        <f t="shared" si="7"/>
        <v>8.4287260094539941E-3</v>
      </c>
      <c r="S20" t="s">
        <v>16</v>
      </c>
      <c r="T20" t="s">
        <v>12</v>
      </c>
      <c r="U20">
        <f>SQRT(SUMSQ(N7:N25))/COUNT(N7:N25)</f>
        <v>2.7387220513853476</v>
      </c>
      <c r="V20">
        <f>SQRT(SUMSQ(O7:O25))/COUNT(O7:O25)</f>
        <v>1.4206959338624432</v>
      </c>
    </row>
    <row r="21" spans="1:22" x14ac:dyDescent="0.3">
      <c r="A21">
        <v>20</v>
      </c>
      <c r="B21">
        <v>108</v>
      </c>
      <c r="C21">
        <v>198.9</v>
      </c>
      <c r="D21">
        <f>(1/$T$3)*(B19+B20+B21)</f>
        <v>101.33333333333333</v>
      </c>
      <c r="E21">
        <f>(1/$T$3)*(C19+C20+C21)</f>
        <v>193.86666666666667</v>
      </c>
      <c r="F21">
        <f>(1/$T$3)*(D19+D20+D21)</f>
        <v>101.33333333333333</v>
      </c>
      <c r="G21">
        <f>(1/$T$3)*(E19+E20+E21)</f>
        <v>191.98888888888888</v>
      </c>
      <c r="H21">
        <f t="shared" si="0"/>
        <v>101.33333333333333</v>
      </c>
      <c r="I21">
        <f t="shared" si="1"/>
        <v>195.74444444444447</v>
      </c>
      <c r="J21">
        <f>(2/($T$3-1))*(D21-F21)</f>
        <v>0</v>
      </c>
      <c r="K21">
        <f>(2/($T$3-1))*(E21-G21)</f>
        <v>1.8777777777777942</v>
      </c>
      <c r="L21">
        <f t="shared" si="2"/>
        <v>94.111111111111114</v>
      </c>
      <c r="M21">
        <f t="shared" si="3"/>
        <v>193.68888888888895</v>
      </c>
      <c r="N21">
        <f t="shared" si="4"/>
        <v>13.888888888888886</v>
      </c>
      <c r="O21">
        <f t="shared" si="5"/>
        <v>5.2111111111110517</v>
      </c>
      <c r="P21">
        <f t="shared" si="6"/>
        <v>0.12860082304526746</v>
      </c>
      <c r="Q21">
        <f t="shared" si="7"/>
        <v>2.6199653650633745E-2</v>
      </c>
    </row>
    <row r="22" spans="1:22" x14ac:dyDescent="0.3">
      <c r="A22">
        <v>21</v>
      </c>
      <c r="B22">
        <v>113</v>
      </c>
      <c r="C22">
        <v>202.7</v>
      </c>
      <c r="D22">
        <f>(1/$T$3)*(B20+B21+B22)</f>
        <v>108</v>
      </c>
      <c r="E22">
        <f>(1/$T$3)*(C20+C21+C22)</f>
        <v>198.9</v>
      </c>
      <c r="F22">
        <f>(1/$T$3)*(D20+D21+D22)</f>
        <v>103</v>
      </c>
      <c r="G22">
        <f>(1/$T$3)*(E20+E21+E22)</f>
        <v>194.7222222222222</v>
      </c>
      <c r="H22">
        <f t="shared" si="0"/>
        <v>113</v>
      </c>
      <c r="I22">
        <f t="shared" si="1"/>
        <v>203.07777777777781</v>
      </c>
      <c r="J22">
        <f>(2/($T$3-1))*(D22-F22)</f>
        <v>5</v>
      </c>
      <c r="K22">
        <f>(2/($T$3-1))*(E22-G22)</f>
        <v>4.1777777777778056</v>
      </c>
      <c r="L22">
        <f t="shared" si="2"/>
        <v>101.33333333333333</v>
      </c>
      <c r="M22">
        <f t="shared" si="3"/>
        <v>197.62222222222226</v>
      </c>
      <c r="N22">
        <f t="shared" si="4"/>
        <v>11.666666666666671</v>
      </c>
      <c r="O22">
        <f t="shared" si="5"/>
        <v>5.077777777777726</v>
      </c>
      <c r="P22">
        <f t="shared" si="6"/>
        <v>0.10324483775811213</v>
      </c>
      <c r="Q22">
        <f t="shared" si="7"/>
        <v>2.5050704379761847E-2</v>
      </c>
      <c r="S22" t="s">
        <v>17</v>
      </c>
      <c r="T22" t="s">
        <v>12</v>
      </c>
      <c r="U22" s="3">
        <f>AVERAGE(P7:P25)</f>
        <v>9.75673439316493E-2</v>
      </c>
      <c r="V22" s="3">
        <f>AVERAGE(Q7:Q25)</f>
        <v>2.7546477782434166E-2</v>
      </c>
    </row>
    <row r="23" spans="1:22" x14ac:dyDescent="0.3">
      <c r="A23">
        <v>22</v>
      </c>
      <c r="B23">
        <v>103</v>
      </c>
      <c r="C23">
        <v>200.1</v>
      </c>
      <c r="D23">
        <f>(1/$T$3)*(B21+B22+B23)</f>
        <v>108</v>
      </c>
      <c r="E23">
        <f>(1/$T$3)*(C21+C22+C23)</f>
        <v>200.56666666666666</v>
      </c>
      <c r="F23">
        <f>(1/$T$3)*(D21+D22+D23)</f>
        <v>105.77777777777777</v>
      </c>
      <c r="G23">
        <f>(1/$T$3)*(E21+E22+E23)</f>
        <v>197.77777777777774</v>
      </c>
      <c r="H23">
        <f t="shared" si="0"/>
        <v>110.22222222222223</v>
      </c>
      <c r="I23">
        <f t="shared" si="1"/>
        <v>203.35555555555558</v>
      </c>
      <c r="J23">
        <f>(2/($T$3-1))*(D23-F23)</f>
        <v>2.2222222222222285</v>
      </c>
      <c r="K23">
        <f>(2/($T$3-1))*(E23-G23)</f>
        <v>2.7888888888889198</v>
      </c>
      <c r="L23">
        <f t="shared" si="2"/>
        <v>118</v>
      </c>
      <c r="M23">
        <f t="shared" si="3"/>
        <v>207.25555555555562</v>
      </c>
      <c r="N23">
        <f t="shared" si="4"/>
        <v>15</v>
      </c>
      <c r="O23">
        <f t="shared" si="5"/>
        <v>7.1555555555556225</v>
      </c>
      <c r="P23">
        <f t="shared" si="6"/>
        <v>0.14563106796116504</v>
      </c>
      <c r="Q23">
        <f t="shared" si="7"/>
        <v>3.5759897828863685E-2</v>
      </c>
    </row>
    <row r="24" spans="1:22" x14ac:dyDescent="0.3">
      <c r="A24">
        <v>23</v>
      </c>
      <c r="B24">
        <v>88</v>
      </c>
      <c r="C24">
        <v>193.5</v>
      </c>
      <c r="D24">
        <f>(1/$T$3)*(B22+B23+B24)</f>
        <v>101.33333333333333</v>
      </c>
      <c r="E24">
        <f>(1/$T$3)*(C22+C23+C24)</f>
        <v>198.76666666666665</v>
      </c>
      <c r="F24">
        <f>(1/$T$3)*(D22+D23+D24)</f>
        <v>105.77777777777777</v>
      </c>
      <c r="G24">
        <f>(1/$T$3)*(E22+E23+E24)</f>
        <v>199.4111111111111</v>
      </c>
      <c r="H24">
        <f t="shared" si="0"/>
        <v>96.888888888888886</v>
      </c>
      <c r="I24">
        <f t="shared" si="1"/>
        <v>198.12222222222221</v>
      </c>
      <c r="J24">
        <f>(2/($T$3-1))*(D24-F24)</f>
        <v>-4.4444444444444429</v>
      </c>
      <c r="K24">
        <f>(2/($T$3-1))*(E24-G24)</f>
        <v>-0.64444444444444571</v>
      </c>
      <c r="L24">
        <f t="shared" si="2"/>
        <v>112.44444444444446</v>
      </c>
      <c r="M24">
        <f t="shared" si="3"/>
        <v>206.1444444444445</v>
      </c>
      <c r="N24">
        <f t="shared" si="4"/>
        <v>24.444444444444457</v>
      </c>
      <c r="O24">
        <f t="shared" si="5"/>
        <v>12.644444444444503</v>
      </c>
      <c r="P24">
        <f t="shared" si="6"/>
        <v>0.2777777777777779</v>
      </c>
      <c r="Q24">
        <f t="shared" si="7"/>
        <v>6.5345966121160226E-2</v>
      </c>
    </row>
    <row r="25" spans="1:22" x14ac:dyDescent="0.3">
      <c r="A25">
        <v>24</v>
      </c>
      <c r="B25">
        <v>93</v>
      </c>
      <c r="C25">
        <v>198.9</v>
      </c>
      <c r="D25">
        <f>(1/$T$3)*(B23+B24+B25)</f>
        <v>94.666666666666657</v>
      </c>
      <c r="E25">
        <f>(1/$T$3)*(C23+C24+C25)</f>
        <v>197.5</v>
      </c>
      <c r="F25">
        <f>(1/$T$3)*(D23+D24+D25)</f>
        <v>101.33333333333333</v>
      </c>
      <c r="G25">
        <f>(1/$T$3)*(E23+E24+E25)</f>
        <v>198.9444444444444</v>
      </c>
      <c r="H25">
        <f t="shared" si="0"/>
        <v>87.999999999999986</v>
      </c>
      <c r="I25">
        <f t="shared" si="1"/>
        <v>196.0555555555556</v>
      </c>
      <c r="J25">
        <f>(2/($T$3-1))*(D25-F25)</f>
        <v>-6.6666666666666714</v>
      </c>
      <c r="K25">
        <f>(2/($T$3-1))*(E25-G25)</f>
        <v>-1.4444444444444002</v>
      </c>
      <c r="L25">
        <f>H24+J24*1</f>
        <v>92.444444444444443</v>
      </c>
      <c r="M25">
        <f t="shared" si="3"/>
        <v>197.47777777777776</v>
      </c>
      <c r="N25">
        <f t="shared" si="4"/>
        <v>0.55555555555555713</v>
      </c>
      <c r="O25">
        <f t="shared" si="5"/>
        <v>1.4222222222222456</v>
      </c>
      <c r="P25">
        <f t="shared" si="6"/>
        <v>5.9737156511350227E-3</v>
      </c>
      <c r="Q25">
        <f t="shared" si="7"/>
        <v>7.1504385229876595E-3</v>
      </c>
    </row>
    <row r="26" spans="1:22" x14ac:dyDescent="0.3">
      <c r="A26">
        <v>25</v>
      </c>
      <c r="B26" s="2" t="s">
        <v>6</v>
      </c>
      <c r="C26" s="2" t="s">
        <v>6</v>
      </c>
      <c r="D26" s="2" t="s">
        <v>6</v>
      </c>
      <c r="E26" s="2" t="s">
        <v>6</v>
      </c>
      <c r="F26" s="2" t="s">
        <v>6</v>
      </c>
      <c r="G26" s="2" t="s">
        <v>6</v>
      </c>
      <c r="H26" s="2" t="s">
        <v>6</v>
      </c>
      <c r="I26" s="2" t="s">
        <v>6</v>
      </c>
      <c r="J26" s="2" t="s">
        <v>6</v>
      </c>
      <c r="K26" s="2" t="s">
        <v>6</v>
      </c>
      <c r="L26">
        <f>$H$25+$J$25*1</f>
        <v>81.333333333333314</v>
      </c>
      <c r="M26">
        <f>$I$25+$K$25*1</f>
        <v>194.6111111111112</v>
      </c>
      <c r="N26" s="2" t="s">
        <v>6</v>
      </c>
      <c r="O26" s="2" t="s">
        <v>6</v>
      </c>
    </row>
    <row r="27" spans="1:22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N27" s="2"/>
      <c r="O27" s="2"/>
    </row>
    <row r="28" spans="1:22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N28" s="2"/>
      <c r="O28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0321-D2B6-4CE4-90B6-8F53EDDA8524}">
  <dimension ref="A1:P26"/>
  <sheetViews>
    <sheetView workbookViewId="0">
      <selection activeCell="P16" sqref="P16:P22"/>
    </sheetView>
  </sheetViews>
  <sheetFormatPr defaultRowHeight="14.4" x14ac:dyDescent="0.3"/>
  <cols>
    <col min="4" max="4" width="12" bestFit="1" customWidth="1"/>
    <col min="5" max="5" width="10.44140625" bestFit="1" customWidth="1"/>
    <col min="6" max="6" width="11.6640625" bestFit="1" customWidth="1"/>
    <col min="7" max="7" width="10.44140625" bestFit="1" customWidth="1"/>
    <col min="8" max="8" width="13.44140625" bestFit="1" customWidth="1"/>
    <col min="9" max="9" width="12.109375" bestFit="1" customWidth="1"/>
    <col min="13" max="13" width="34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36</v>
      </c>
      <c r="G1" t="s">
        <v>37</v>
      </c>
      <c r="H1" t="s">
        <v>31</v>
      </c>
      <c r="I1" t="s">
        <v>32</v>
      </c>
    </row>
    <row r="2" spans="1:16" x14ac:dyDescent="0.3">
      <c r="A2">
        <v>1</v>
      </c>
      <c r="B2">
        <v>113</v>
      </c>
      <c r="C2">
        <v>180.8</v>
      </c>
      <c r="D2">
        <f>B2</f>
        <v>113</v>
      </c>
      <c r="E2">
        <f>C2</f>
        <v>180.8</v>
      </c>
    </row>
    <row r="3" spans="1:16" x14ac:dyDescent="0.3">
      <c r="A3">
        <v>2</v>
      </c>
      <c r="B3">
        <v>88</v>
      </c>
      <c r="C3">
        <v>167.2</v>
      </c>
      <c r="D3">
        <f>0.4*B3+(1-0.4)*D2</f>
        <v>103</v>
      </c>
      <c r="E3">
        <f>0.4*C3+(1-0.4)*E2</f>
        <v>175.36</v>
      </c>
      <c r="F3">
        <f>D2</f>
        <v>113</v>
      </c>
      <c r="G3">
        <f>E2</f>
        <v>180.8</v>
      </c>
      <c r="H3">
        <f>ABS(B3-F3)</f>
        <v>25</v>
      </c>
      <c r="I3">
        <f>ABS(C3-G3)</f>
        <v>13.600000000000023</v>
      </c>
      <c r="J3">
        <f>H3/B3</f>
        <v>0.28409090909090912</v>
      </c>
      <c r="K3">
        <f>I3/C3</f>
        <v>8.1339712918660434E-2</v>
      </c>
    </row>
    <row r="4" spans="1:16" x14ac:dyDescent="0.3">
      <c r="A4">
        <v>3</v>
      </c>
      <c r="B4">
        <v>103</v>
      </c>
      <c r="C4">
        <v>172.5</v>
      </c>
      <c r="D4">
        <f t="shared" ref="D4:D25" si="0">0.4*B4+(1-0.4)*D3</f>
        <v>103</v>
      </c>
      <c r="E4">
        <f t="shared" ref="E4:E25" si="1">0.4*C4+(1-0.4)*E3</f>
        <v>174.21600000000001</v>
      </c>
      <c r="F4">
        <f t="shared" ref="F4:F26" si="2">D3</f>
        <v>103</v>
      </c>
      <c r="G4">
        <f t="shared" ref="G4:G26" si="3">E3</f>
        <v>175.36</v>
      </c>
      <c r="H4">
        <f t="shared" ref="H4:H25" si="4">ABS(B4-F4)</f>
        <v>0</v>
      </c>
      <c r="I4">
        <f t="shared" ref="I4:I25" si="5">ABS(C4-G4)</f>
        <v>2.8600000000000136</v>
      </c>
      <c r="J4">
        <f t="shared" ref="J4:J25" si="6">H4/B4</f>
        <v>0</v>
      </c>
      <c r="K4">
        <f t="shared" ref="K4:K25" si="7">I4/C4</f>
        <v>1.6579710144927616E-2</v>
      </c>
    </row>
    <row r="5" spans="1:16" x14ac:dyDescent="0.3">
      <c r="A5">
        <v>4</v>
      </c>
      <c r="B5">
        <v>98</v>
      </c>
      <c r="C5">
        <v>171</v>
      </c>
      <c r="D5">
        <f t="shared" si="0"/>
        <v>101</v>
      </c>
      <c r="E5">
        <f t="shared" si="1"/>
        <v>172.92959999999999</v>
      </c>
      <c r="F5">
        <f t="shared" si="2"/>
        <v>103</v>
      </c>
      <c r="G5">
        <f t="shared" si="3"/>
        <v>174.21600000000001</v>
      </c>
      <c r="H5">
        <f t="shared" si="4"/>
        <v>5</v>
      </c>
      <c r="I5">
        <f t="shared" si="5"/>
        <v>3.2160000000000082</v>
      </c>
      <c r="J5">
        <f t="shared" si="6"/>
        <v>5.1020408163265307E-2</v>
      </c>
      <c r="K5">
        <f t="shared" si="7"/>
        <v>1.8807017543859696E-2</v>
      </c>
    </row>
    <row r="6" spans="1:16" x14ac:dyDescent="0.3">
      <c r="A6">
        <v>5</v>
      </c>
      <c r="B6">
        <v>108</v>
      </c>
      <c r="C6">
        <v>176.1</v>
      </c>
      <c r="D6">
        <f t="shared" si="0"/>
        <v>103.8</v>
      </c>
      <c r="E6">
        <f t="shared" si="1"/>
        <v>174.19775999999999</v>
      </c>
      <c r="F6">
        <f t="shared" si="2"/>
        <v>101</v>
      </c>
      <c r="G6">
        <f t="shared" si="3"/>
        <v>172.92959999999999</v>
      </c>
      <c r="H6">
        <f t="shared" si="4"/>
        <v>7</v>
      </c>
      <c r="I6">
        <f t="shared" si="5"/>
        <v>3.1704000000000008</v>
      </c>
      <c r="J6">
        <f t="shared" si="6"/>
        <v>6.4814814814814811E-2</v>
      </c>
      <c r="K6">
        <f t="shared" si="7"/>
        <v>1.8003407155025557E-2</v>
      </c>
    </row>
    <row r="7" spans="1:16" x14ac:dyDescent="0.3">
      <c r="A7">
        <v>6</v>
      </c>
      <c r="B7">
        <v>98</v>
      </c>
      <c r="C7">
        <v>171.9</v>
      </c>
      <c r="D7">
        <f t="shared" si="0"/>
        <v>101.47999999999999</v>
      </c>
      <c r="E7">
        <f t="shared" si="1"/>
        <v>173.27865600000001</v>
      </c>
      <c r="F7">
        <f t="shared" si="2"/>
        <v>103.8</v>
      </c>
      <c r="G7">
        <f t="shared" si="3"/>
        <v>174.19775999999999</v>
      </c>
      <c r="H7">
        <f t="shared" si="4"/>
        <v>5.7999999999999972</v>
      </c>
      <c r="I7">
        <f t="shared" si="5"/>
        <v>2.2977599999999825</v>
      </c>
      <c r="J7">
        <f t="shared" si="6"/>
        <v>5.9183673469387729E-2</v>
      </c>
      <c r="K7">
        <f t="shared" si="7"/>
        <v>1.3366841186736372E-2</v>
      </c>
    </row>
    <row r="8" spans="1:16" x14ac:dyDescent="0.3">
      <c r="A8">
        <v>7</v>
      </c>
      <c r="B8">
        <v>93</v>
      </c>
      <c r="C8">
        <v>167.9</v>
      </c>
      <c r="D8">
        <f t="shared" si="0"/>
        <v>98.087999999999994</v>
      </c>
      <c r="E8">
        <f t="shared" si="1"/>
        <v>171.1271936</v>
      </c>
      <c r="F8">
        <f t="shared" si="2"/>
        <v>101.47999999999999</v>
      </c>
      <c r="G8">
        <f t="shared" si="3"/>
        <v>173.27865600000001</v>
      </c>
      <c r="H8">
        <f t="shared" si="4"/>
        <v>8.4799999999999898</v>
      </c>
      <c r="I8">
        <f t="shared" si="5"/>
        <v>5.3786560000000065</v>
      </c>
      <c r="J8">
        <f t="shared" si="6"/>
        <v>9.1182795698924624E-2</v>
      </c>
      <c r="K8">
        <f t="shared" si="7"/>
        <v>3.2034877903514038E-2</v>
      </c>
    </row>
    <row r="9" spans="1:16" x14ac:dyDescent="0.3">
      <c r="A9">
        <v>8</v>
      </c>
      <c r="B9">
        <v>93</v>
      </c>
      <c r="C9">
        <v>169.1</v>
      </c>
      <c r="D9">
        <f t="shared" si="0"/>
        <v>96.052799999999991</v>
      </c>
      <c r="E9">
        <f t="shared" si="1"/>
        <v>170.31631615999999</v>
      </c>
      <c r="F9">
        <f t="shared" si="2"/>
        <v>98.087999999999994</v>
      </c>
      <c r="G9">
        <f t="shared" si="3"/>
        <v>171.1271936</v>
      </c>
      <c r="H9">
        <f t="shared" si="4"/>
        <v>5.0879999999999939</v>
      </c>
      <c r="I9">
        <f t="shared" si="5"/>
        <v>2.0271936000000039</v>
      </c>
      <c r="J9">
        <f t="shared" si="6"/>
        <v>5.4709677419354771E-2</v>
      </c>
      <c r="K9">
        <f t="shared" si="7"/>
        <v>1.1988134831460698E-2</v>
      </c>
    </row>
    <row r="10" spans="1:16" x14ac:dyDescent="0.3">
      <c r="A10">
        <v>9</v>
      </c>
      <c r="B10">
        <v>103</v>
      </c>
      <c r="C10">
        <v>174.4</v>
      </c>
      <c r="D10">
        <f t="shared" si="0"/>
        <v>98.831679999999992</v>
      </c>
      <c r="E10">
        <f t="shared" si="1"/>
        <v>171.94978969599998</v>
      </c>
      <c r="F10">
        <f t="shared" si="2"/>
        <v>96.052799999999991</v>
      </c>
      <c r="G10">
        <f t="shared" si="3"/>
        <v>170.31631615999999</v>
      </c>
      <c r="H10">
        <f t="shared" si="4"/>
        <v>6.9472000000000094</v>
      </c>
      <c r="I10">
        <f t="shared" si="5"/>
        <v>4.0836838400000204</v>
      </c>
      <c r="J10">
        <f t="shared" si="6"/>
        <v>6.7448543689320475E-2</v>
      </c>
      <c r="K10">
        <f t="shared" si="7"/>
        <v>2.3415618348623969E-2</v>
      </c>
    </row>
    <row r="11" spans="1:16" x14ac:dyDescent="0.3">
      <c r="A11">
        <v>10</v>
      </c>
      <c r="B11">
        <v>103</v>
      </c>
      <c r="C11">
        <v>174.3</v>
      </c>
      <c r="D11">
        <f t="shared" si="0"/>
        <v>100.499008</v>
      </c>
      <c r="E11">
        <f t="shared" si="1"/>
        <v>172.88987381760001</v>
      </c>
      <c r="F11">
        <f t="shared" si="2"/>
        <v>98.831679999999992</v>
      </c>
      <c r="G11">
        <f t="shared" si="3"/>
        <v>171.94978969599998</v>
      </c>
      <c r="H11">
        <f t="shared" si="4"/>
        <v>4.1683200000000085</v>
      </c>
      <c r="I11">
        <f t="shared" si="5"/>
        <v>2.3502103040000293</v>
      </c>
      <c r="J11">
        <f t="shared" si="6"/>
        <v>4.0469126213592319E-2</v>
      </c>
      <c r="K11">
        <f t="shared" si="7"/>
        <v>1.3483707997705274E-2</v>
      </c>
    </row>
    <row r="12" spans="1:16" x14ac:dyDescent="0.3">
      <c r="A12">
        <v>11</v>
      </c>
      <c r="B12">
        <v>93</v>
      </c>
      <c r="C12">
        <v>169.9</v>
      </c>
      <c r="D12">
        <f t="shared" si="0"/>
        <v>97.499404800000008</v>
      </c>
      <c r="E12">
        <f t="shared" si="1"/>
        <v>171.69392429056001</v>
      </c>
      <c r="F12">
        <f t="shared" si="2"/>
        <v>100.499008</v>
      </c>
      <c r="G12">
        <f t="shared" si="3"/>
        <v>172.88987381760001</v>
      </c>
      <c r="H12">
        <f t="shared" si="4"/>
        <v>7.4990080000000034</v>
      </c>
      <c r="I12">
        <f t="shared" si="5"/>
        <v>2.9898738175999995</v>
      </c>
      <c r="J12">
        <f t="shared" si="6"/>
        <v>8.0634494623655947E-2</v>
      </c>
      <c r="K12">
        <f t="shared" si="7"/>
        <v>1.7597844718069449E-2</v>
      </c>
    </row>
    <row r="13" spans="1:16" x14ac:dyDescent="0.3">
      <c r="A13">
        <v>12</v>
      </c>
      <c r="B13">
        <v>108</v>
      </c>
      <c r="C13">
        <v>178.6</v>
      </c>
      <c r="D13">
        <f t="shared" si="0"/>
        <v>101.69964288</v>
      </c>
      <c r="E13">
        <f t="shared" si="1"/>
        <v>174.45635457433599</v>
      </c>
      <c r="F13">
        <f t="shared" si="2"/>
        <v>97.499404800000008</v>
      </c>
      <c r="G13">
        <f t="shared" si="3"/>
        <v>171.69392429056001</v>
      </c>
      <c r="H13">
        <f t="shared" si="4"/>
        <v>10.500595199999992</v>
      </c>
      <c r="I13">
        <f t="shared" si="5"/>
        <v>6.9060757094399889</v>
      </c>
      <c r="J13">
        <f t="shared" si="6"/>
        <v>9.7227733333333261E-2</v>
      </c>
      <c r="K13">
        <f t="shared" si="7"/>
        <v>3.8667837118924908E-2</v>
      </c>
    </row>
    <row r="14" spans="1:16" x14ac:dyDescent="0.3">
      <c r="A14">
        <v>13</v>
      </c>
      <c r="B14">
        <v>103</v>
      </c>
      <c r="C14">
        <v>179.4</v>
      </c>
      <c r="D14">
        <f t="shared" si="0"/>
        <v>102.21978572800001</v>
      </c>
      <c r="E14">
        <f t="shared" si="1"/>
        <v>176.4338127446016</v>
      </c>
      <c r="F14">
        <f t="shared" si="2"/>
        <v>101.69964288</v>
      </c>
      <c r="G14">
        <f t="shared" si="3"/>
        <v>174.45635457433599</v>
      </c>
      <c r="H14">
        <f>ABS(B14-F14)</f>
        <v>1.300357120000001</v>
      </c>
      <c r="I14">
        <f t="shared" si="5"/>
        <v>4.9436454256640161</v>
      </c>
      <c r="J14">
        <f t="shared" si="6"/>
        <v>1.2624826407767001E-2</v>
      </c>
      <c r="K14">
        <f t="shared" si="7"/>
        <v>2.7556551982519599E-2</v>
      </c>
    </row>
    <row r="15" spans="1:16" x14ac:dyDescent="0.3">
      <c r="A15">
        <v>14</v>
      </c>
      <c r="B15">
        <v>93</v>
      </c>
      <c r="C15">
        <v>176.5</v>
      </c>
      <c r="D15">
        <f t="shared" si="0"/>
        <v>98.531871436800003</v>
      </c>
      <c r="E15">
        <f t="shared" si="1"/>
        <v>176.46028764676095</v>
      </c>
      <c r="F15">
        <f t="shared" si="2"/>
        <v>102.21978572800001</v>
      </c>
      <c r="G15">
        <f t="shared" si="3"/>
        <v>176.4338127446016</v>
      </c>
      <c r="H15">
        <f>ABS(B15-F15)</f>
        <v>9.2197857280000051</v>
      </c>
      <c r="I15">
        <f t="shared" si="5"/>
        <v>6.6187255398403977E-2</v>
      </c>
      <c r="J15">
        <f t="shared" si="6"/>
        <v>9.9137480946236617E-2</v>
      </c>
      <c r="K15">
        <f t="shared" si="7"/>
        <v>3.7499861415526335E-4</v>
      </c>
      <c r="O15" t="s">
        <v>18</v>
      </c>
      <c r="P15" t="s">
        <v>19</v>
      </c>
    </row>
    <row r="16" spans="1:16" x14ac:dyDescent="0.3">
      <c r="A16">
        <v>15</v>
      </c>
      <c r="B16">
        <v>98</v>
      </c>
      <c r="C16">
        <v>181.5</v>
      </c>
      <c r="D16">
        <f t="shared" si="0"/>
        <v>98.319122862080008</v>
      </c>
      <c r="E16">
        <f t="shared" si="1"/>
        <v>178.47617258805656</v>
      </c>
      <c r="F16">
        <f t="shared" si="2"/>
        <v>98.531871436800003</v>
      </c>
      <c r="G16">
        <f t="shared" si="3"/>
        <v>176.46028764676095</v>
      </c>
      <c r="H16">
        <f t="shared" si="4"/>
        <v>0.53187143680000304</v>
      </c>
      <c r="I16">
        <f t="shared" si="5"/>
        <v>5.0397123532390538</v>
      </c>
      <c r="J16">
        <f t="shared" si="6"/>
        <v>5.4272595591837048E-3</v>
      </c>
      <c r="K16">
        <f t="shared" si="7"/>
        <v>2.7767010210683493E-2</v>
      </c>
      <c r="M16" t="s">
        <v>11</v>
      </c>
      <c r="N16" t="s">
        <v>12</v>
      </c>
      <c r="O16">
        <f>AVERAGE(H3:H25)</f>
        <v>7.4261661194818647</v>
      </c>
      <c r="P16">
        <f>AVERAGE(I3:I25)</f>
        <v>5.0560869918081348</v>
      </c>
    </row>
    <row r="17" spans="1:16" x14ac:dyDescent="0.3">
      <c r="A17">
        <v>16</v>
      </c>
      <c r="B17">
        <v>113</v>
      </c>
      <c r="C17">
        <v>193</v>
      </c>
      <c r="D17">
        <f t="shared" si="0"/>
        <v>104.191473717248</v>
      </c>
      <c r="E17">
        <f t="shared" si="1"/>
        <v>184.28570355283392</v>
      </c>
      <c r="F17">
        <f t="shared" si="2"/>
        <v>98.319122862080008</v>
      </c>
      <c r="G17">
        <f t="shared" si="3"/>
        <v>178.47617258805656</v>
      </c>
      <c r="H17">
        <f t="shared" si="4"/>
        <v>14.680877137919992</v>
      </c>
      <c r="I17">
        <f t="shared" si="5"/>
        <v>14.523827411943444</v>
      </c>
      <c r="J17">
        <f t="shared" si="6"/>
        <v>0.12991926670725656</v>
      </c>
      <c r="K17">
        <f t="shared" si="7"/>
        <v>7.5252991771727687E-2</v>
      </c>
    </row>
    <row r="18" spans="1:16" x14ac:dyDescent="0.3">
      <c r="A18">
        <v>17</v>
      </c>
      <c r="B18">
        <v>103</v>
      </c>
      <c r="C18">
        <v>191.5</v>
      </c>
      <c r="D18">
        <f t="shared" si="0"/>
        <v>103.7148842303488</v>
      </c>
      <c r="E18">
        <f t="shared" si="1"/>
        <v>187.17142213170035</v>
      </c>
      <c r="F18">
        <f t="shared" si="2"/>
        <v>104.191473717248</v>
      </c>
      <c r="G18">
        <f t="shared" si="3"/>
        <v>184.28570355283392</v>
      </c>
      <c r="H18">
        <f t="shared" si="4"/>
        <v>1.1914737172480017</v>
      </c>
      <c r="I18">
        <f t="shared" si="5"/>
        <v>7.2142964471660775</v>
      </c>
      <c r="J18">
        <f t="shared" si="6"/>
        <v>1.1567705992699046E-2</v>
      </c>
      <c r="K18">
        <f t="shared" si="7"/>
        <v>3.7672566303739309E-2</v>
      </c>
      <c r="M18" t="s">
        <v>13</v>
      </c>
      <c r="N18" t="s">
        <v>12</v>
      </c>
      <c r="O18">
        <f>SUMSQ(H3:H25)/COUNT(H3:H25)</f>
        <v>86.6950689803068</v>
      </c>
      <c r="P18">
        <f>SUMSQ(I3:I25)/COUNT(I3:I25)</f>
        <v>38.782922538866615</v>
      </c>
    </row>
    <row r="19" spans="1:16" x14ac:dyDescent="0.3">
      <c r="A19">
        <v>18</v>
      </c>
      <c r="B19">
        <v>93</v>
      </c>
      <c r="C19">
        <v>187.6</v>
      </c>
      <c r="D19">
        <f t="shared" si="0"/>
        <v>99.428930538209272</v>
      </c>
      <c r="E19">
        <f t="shared" si="1"/>
        <v>187.34285327902023</v>
      </c>
      <c r="F19">
        <f t="shared" si="2"/>
        <v>103.7148842303488</v>
      </c>
      <c r="G19">
        <f t="shared" si="3"/>
        <v>187.17142213170035</v>
      </c>
      <c r="H19">
        <f t="shared" si="4"/>
        <v>10.714884230348801</v>
      </c>
      <c r="I19">
        <f t="shared" si="5"/>
        <v>0.42857786829964084</v>
      </c>
      <c r="J19">
        <f t="shared" si="6"/>
        <v>0.11521380892848174</v>
      </c>
      <c r="K19">
        <f t="shared" si="7"/>
        <v>2.2845302148168491E-3</v>
      </c>
    </row>
    <row r="20" spans="1:16" x14ac:dyDescent="0.3">
      <c r="A20">
        <v>19</v>
      </c>
      <c r="B20">
        <v>103</v>
      </c>
      <c r="C20">
        <v>195.1</v>
      </c>
      <c r="D20">
        <f t="shared" si="0"/>
        <v>100.85735832292556</v>
      </c>
      <c r="E20">
        <f t="shared" si="1"/>
        <v>190.44571196741214</v>
      </c>
      <c r="F20">
        <f t="shared" si="2"/>
        <v>99.428930538209272</v>
      </c>
      <c r="G20">
        <f t="shared" si="3"/>
        <v>187.34285327902023</v>
      </c>
      <c r="H20">
        <f t="shared" si="4"/>
        <v>3.5710694617907279</v>
      </c>
      <c r="I20">
        <f t="shared" si="5"/>
        <v>7.7571467209797618</v>
      </c>
      <c r="J20">
        <f t="shared" si="6"/>
        <v>3.4670577298939104E-2</v>
      </c>
      <c r="K20">
        <f t="shared" si="7"/>
        <v>3.9759849928138198E-2</v>
      </c>
      <c r="M20" t="s">
        <v>16</v>
      </c>
      <c r="N20" t="s">
        <v>12</v>
      </c>
      <c r="O20">
        <f>SQRT(SUMSQ(H3:H25))/COUNT(H3:H25)</f>
        <v>1.9414816056895134</v>
      </c>
      <c r="P20">
        <f>SQRT(SUMSQ(I3:I25))/COUNT(I3:I25)</f>
        <v>1.2985430387280135</v>
      </c>
    </row>
    <row r="21" spans="1:16" x14ac:dyDescent="0.3">
      <c r="A21">
        <v>20</v>
      </c>
      <c r="B21">
        <v>108</v>
      </c>
      <c r="C21">
        <v>198.9</v>
      </c>
      <c r="D21">
        <f t="shared" si="0"/>
        <v>103.71441499375534</v>
      </c>
      <c r="E21">
        <f t="shared" si="1"/>
        <v>193.82742718044727</v>
      </c>
      <c r="F21">
        <f t="shared" si="2"/>
        <v>100.85735832292556</v>
      </c>
      <c r="G21">
        <f t="shared" si="3"/>
        <v>190.44571196741214</v>
      </c>
      <c r="H21">
        <f t="shared" si="4"/>
        <v>7.1426416770744368</v>
      </c>
      <c r="I21">
        <f t="shared" si="5"/>
        <v>8.4542880325878684</v>
      </c>
      <c r="J21">
        <f t="shared" si="6"/>
        <v>6.6135571084022557E-2</v>
      </c>
      <c r="K21">
        <f t="shared" si="7"/>
        <v>4.2505218866706225E-2</v>
      </c>
    </row>
    <row r="22" spans="1:16" x14ac:dyDescent="0.3">
      <c r="A22">
        <v>21</v>
      </c>
      <c r="B22">
        <v>113</v>
      </c>
      <c r="C22">
        <v>202.7</v>
      </c>
      <c r="D22">
        <f t="shared" si="0"/>
        <v>107.4286489962532</v>
      </c>
      <c r="E22">
        <f t="shared" si="1"/>
        <v>197.37645630826836</v>
      </c>
      <c r="F22">
        <f t="shared" si="2"/>
        <v>103.71441499375534</v>
      </c>
      <c r="G22">
        <f t="shared" si="3"/>
        <v>193.82742718044727</v>
      </c>
      <c r="H22">
        <f t="shared" si="4"/>
        <v>9.2855850062446592</v>
      </c>
      <c r="I22">
        <f t="shared" si="5"/>
        <v>8.8725728195527154</v>
      </c>
      <c r="J22">
        <f t="shared" si="6"/>
        <v>8.2173318639333262E-2</v>
      </c>
      <c r="K22">
        <f t="shared" si="7"/>
        <v>4.3771942869031653E-2</v>
      </c>
      <c r="M22" t="s">
        <v>38</v>
      </c>
      <c r="N22" t="s">
        <v>12</v>
      </c>
      <c r="O22" s="3">
        <f>AVERAGE(J3:J25)</f>
        <v>7.6150103212610537E-2</v>
      </c>
      <c r="P22" s="3">
        <f>AVERAGE(K3:K25)</f>
        <v>2.7551044517117686E-2</v>
      </c>
    </row>
    <row r="23" spans="1:16" x14ac:dyDescent="0.3">
      <c r="A23">
        <v>22</v>
      </c>
      <c r="B23">
        <v>103</v>
      </c>
      <c r="C23">
        <v>200.1</v>
      </c>
      <c r="D23">
        <f t="shared" si="0"/>
        <v>105.65718939775192</v>
      </c>
      <c r="E23">
        <f t="shared" si="1"/>
        <v>198.46587378496102</v>
      </c>
      <c r="F23">
        <f t="shared" si="2"/>
        <v>107.4286489962532</v>
      </c>
      <c r="G23">
        <f t="shared" si="3"/>
        <v>197.37645630826836</v>
      </c>
      <c r="H23">
        <f t="shared" si="4"/>
        <v>4.4286489962532016</v>
      </c>
      <c r="I23">
        <f t="shared" si="5"/>
        <v>2.7235436917316349</v>
      </c>
      <c r="J23">
        <f t="shared" si="6"/>
        <v>4.2996592196633023E-2</v>
      </c>
      <c r="K23">
        <f t="shared" si="7"/>
        <v>1.3610913002157096E-2</v>
      </c>
    </row>
    <row r="24" spans="1:16" x14ac:dyDescent="0.3">
      <c r="A24">
        <v>23</v>
      </c>
      <c r="B24">
        <v>88</v>
      </c>
      <c r="C24">
        <v>193.5</v>
      </c>
      <c r="D24">
        <f t="shared" si="0"/>
        <v>98.594313638651158</v>
      </c>
      <c r="E24">
        <f t="shared" si="1"/>
        <v>196.47952427097661</v>
      </c>
      <c r="F24">
        <f t="shared" si="2"/>
        <v>105.65718939775192</v>
      </c>
      <c r="G24">
        <f t="shared" si="3"/>
        <v>198.46587378496102</v>
      </c>
      <c r="H24">
        <f t="shared" si="4"/>
        <v>17.657189397751921</v>
      </c>
      <c r="I24">
        <f t="shared" si="5"/>
        <v>4.9658737849610191</v>
      </c>
      <c r="J24">
        <f t="shared" si="6"/>
        <v>0.2006498795199082</v>
      </c>
      <c r="K24">
        <f t="shared" si="7"/>
        <v>2.5663430413235242E-2</v>
      </c>
    </row>
    <row r="25" spans="1:16" x14ac:dyDescent="0.3">
      <c r="A25">
        <v>24</v>
      </c>
      <c r="B25">
        <v>93</v>
      </c>
      <c r="C25">
        <v>198.9</v>
      </c>
      <c r="D25">
        <f t="shared" si="0"/>
        <v>96.356588183190695</v>
      </c>
      <c r="E25">
        <f t="shared" si="1"/>
        <v>197.44771456258596</v>
      </c>
      <c r="F25">
        <f t="shared" si="2"/>
        <v>98.594313638651158</v>
      </c>
      <c r="G25">
        <f t="shared" si="3"/>
        <v>196.47952427097661</v>
      </c>
      <c r="H25">
        <f t="shared" si="4"/>
        <v>5.5943136386511583</v>
      </c>
      <c r="I25">
        <f t="shared" si="5"/>
        <v>2.4204757290233943</v>
      </c>
      <c r="J25">
        <f t="shared" si="6"/>
        <v>6.0153910093023205E-2</v>
      </c>
      <c r="K25">
        <f t="shared" si="7"/>
        <v>1.2169309849288054E-2</v>
      </c>
    </row>
    <row r="26" spans="1:16" x14ac:dyDescent="0.3">
      <c r="B26" s="2"/>
      <c r="C26" s="2"/>
      <c r="F26">
        <f t="shared" si="2"/>
        <v>96.356588183190695</v>
      </c>
      <c r="G26">
        <f t="shared" si="3"/>
        <v>197.44771456258596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B43D-0AE7-46F2-B07B-C32B61ECF8BC}">
  <dimension ref="A1:W26"/>
  <sheetViews>
    <sheetView topLeftCell="B1" zoomScale="85" zoomScaleNormal="85" workbookViewId="0">
      <selection activeCell="W19" sqref="W19:W25"/>
    </sheetView>
  </sheetViews>
  <sheetFormatPr defaultRowHeight="14.4" x14ac:dyDescent="0.3"/>
  <cols>
    <col min="4" max="4" width="12" bestFit="1" customWidth="1"/>
    <col min="5" max="5" width="10.44140625" bestFit="1" customWidth="1"/>
    <col min="6" max="6" width="12.5546875" bestFit="1" customWidth="1"/>
    <col min="7" max="7" width="11.33203125" bestFit="1" customWidth="1"/>
    <col min="14" max="14" width="13.44140625" bestFit="1" customWidth="1"/>
    <col min="15" max="15" width="12.109375" bestFit="1" customWidth="1"/>
    <col min="20" max="20" width="35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46</v>
      </c>
      <c r="J1" t="s">
        <v>44</v>
      </c>
      <c r="K1" t="s">
        <v>45</v>
      </c>
      <c r="L1" t="s">
        <v>47</v>
      </c>
      <c r="M1" t="s">
        <v>48</v>
      </c>
      <c r="N1" t="s">
        <v>31</v>
      </c>
      <c r="O1" t="s">
        <v>32</v>
      </c>
    </row>
    <row r="2" spans="1:17" x14ac:dyDescent="0.3">
      <c r="A2">
        <v>1</v>
      </c>
      <c r="B2">
        <v>113</v>
      </c>
      <c r="C2">
        <v>180.8</v>
      </c>
      <c r="D2">
        <f>B2</f>
        <v>113</v>
      </c>
      <c r="E2">
        <f>C2</f>
        <v>180.8</v>
      </c>
      <c r="F2">
        <f>D2</f>
        <v>113</v>
      </c>
      <c r="G2">
        <f>E2</f>
        <v>180.8</v>
      </c>
      <c r="H2">
        <f>2*D2-F2</f>
        <v>113</v>
      </c>
      <c r="I2">
        <f>2*E2-G2</f>
        <v>180.8</v>
      </c>
      <c r="J2">
        <f>(0.4/(1-0.4))*(D2-F2)</f>
        <v>0</v>
      </c>
      <c r="K2">
        <f>(0.4/(1-0.4))*(E2-G2)</f>
        <v>0</v>
      </c>
      <c r="L2" t="s">
        <v>6</v>
      </c>
      <c r="M2" t="s">
        <v>6</v>
      </c>
      <c r="N2" t="s">
        <v>6</v>
      </c>
      <c r="O2" t="s">
        <v>6</v>
      </c>
    </row>
    <row r="3" spans="1:17" x14ac:dyDescent="0.3">
      <c r="A3">
        <v>2</v>
      </c>
      <c r="B3">
        <v>88</v>
      </c>
      <c r="C3">
        <v>167.2</v>
      </c>
      <c r="D3">
        <f>0.4*B3+(1-0.4)*D2</f>
        <v>103</v>
      </c>
      <c r="E3">
        <f>0.4*C3+(1-0.4)*E2</f>
        <v>175.36</v>
      </c>
      <c r="F3">
        <f>0.4*D3+(1-0.4)*F2</f>
        <v>109</v>
      </c>
      <c r="G3">
        <f>0.4*E3+(1-0.4)*G2</f>
        <v>178.62400000000002</v>
      </c>
      <c r="H3">
        <f t="shared" ref="H3:H25" si="0">2*D3-F3</f>
        <v>97</v>
      </c>
      <c r="I3">
        <f t="shared" ref="I3:I25" si="1">2*E3-G3</f>
        <v>172.096</v>
      </c>
      <c r="J3">
        <f t="shared" ref="J3:J25" si="2">(0.4/(1-0.4))*(D3-F3)</f>
        <v>-4</v>
      </c>
      <c r="K3">
        <f t="shared" ref="K3:K25" si="3">(0.4/(1-0.4))*(E3-G3)</f>
        <v>-2.1760000000000068</v>
      </c>
      <c r="L3">
        <f>H2+J2*1</f>
        <v>113</v>
      </c>
      <c r="M3">
        <f>I2+K2*1</f>
        <v>180.8</v>
      </c>
      <c r="N3">
        <f>ABS(B3-L3)</f>
        <v>25</v>
      </c>
      <c r="O3">
        <f>ABS(C3-M3)</f>
        <v>13.600000000000023</v>
      </c>
      <c r="P3">
        <f>N3/B3</f>
        <v>0.28409090909090912</v>
      </c>
      <c r="Q3">
        <f>O3/C3</f>
        <v>8.1339712918660434E-2</v>
      </c>
    </row>
    <row r="4" spans="1:17" x14ac:dyDescent="0.3">
      <c r="A4">
        <v>3</v>
      </c>
      <c r="B4">
        <v>103</v>
      </c>
      <c r="C4">
        <v>172.5</v>
      </c>
      <c r="D4">
        <f t="shared" ref="D4:D25" si="4">0.4*B4+(1-0.4)*D3</f>
        <v>103</v>
      </c>
      <c r="E4">
        <f t="shared" ref="E4:E25" si="5">0.4*C4+(1-0.4)*E3</f>
        <v>174.21600000000001</v>
      </c>
      <c r="F4">
        <f>0.4*D4+(1-0.4)*F3</f>
        <v>106.6</v>
      </c>
      <c r="G4">
        <f t="shared" ref="G4:G25" si="6">0.4*E4+(1-0.4)*G3</f>
        <v>176.86080000000001</v>
      </c>
      <c r="H4">
        <f t="shared" si="0"/>
        <v>99.4</v>
      </c>
      <c r="I4">
        <f t="shared" si="1"/>
        <v>171.5712</v>
      </c>
      <c r="J4">
        <f t="shared" si="2"/>
        <v>-2.3999999999999964</v>
      </c>
      <c r="K4">
        <f t="shared" si="3"/>
        <v>-1.7632000000000025</v>
      </c>
      <c r="L4">
        <f t="shared" ref="L4:L26" si="7">H3+J3*1</f>
        <v>93</v>
      </c>
      <c r="M4">
        <f t="shared" ref="M4:M26" si="8">I3+K3*1</f>
        <v>169.92</v>
      </c>
      <c r="N4">
        <f t="shared" ref="N4:N25" si="9">ABS(B4-L4)</f>
        <v>10</v>
      </c>
      <c r="O4">
        <f t="shared" ref="O4:O25" si="10">ABS(C4-M4)</f>
        <v>2.5800000000000125</v>
      </c>
      <c r="P4">
        <f t="shared" ref="P4:P25" si="11">N4/B4</f>
        <v>9.7087378640776698E-2</v>
      </c>
      <c r="Q4">
        <f t="shared" ref="Q4:Q25" si="12">O4/C4</f>
        <v>1.4956521739130507E-2</v>
      </c>
    </row>
    <row r="5" spans="1:17" x14ac:dyDescent="0.3">
      <c r="A5">
        <v>4</v>
      </c>
      <c r="B5">
        <v>98</v>
      </c>
      <c r="C5">
        <v>171</v>
      </c>
      <c r="D5">
        <f t="shared" si="4"/>
        <v>101</v>
      </c>
      <c r="E5">
        <f t="shared" si="5"/>
        <v>172.92959999999999</v>
      </c>
      <c r="F5">
        <f t="shared" ref="F4:F25" si="13">0.4*D5+(1-0.4)*F4</f>
        <v>104.36</v>
      </c>
      <c r="G5">
        <f t="shared" si="6"/>
        <v>175.28832</v>
      </c>
      <c r="H5">
        <f t="shared" si="0"/>
        <v>97.64</v>
      </c>
      <c r="I5">
        <f t="shared" si="1"/>
        <v>170.57087999999999</v>
      </c>
      <c r="J5">
        <f t="shared" si="2"/>
        <v>-2.2399999999999998</v>
      </c>
      <c r="K5">
        <f t="shared" si="3"/>
        <v>-1.5724800000000037</v>
      </c>
      <c r="L5">
        <f t="shared" si="7"/>
        <v>97.000000000000014</v>
      </c>
      <c r="M5">
        <f t="shared" si="8"/>
        <v>169.80799999999999</v>
      </c>
      <c r="N5">
        <f t="shared" si="9"/>
        <v>0.99999999999998579</v>
      </c>
      <c r="O5">
        <f t="shared" si="10"/>
        <v>1.1920000000000073</v>
      </c>
      <c r="P5">
        <f t="shared" si="11"/>
        <v>1.0204081632652916E-2</v>
      </c>
      <c r="Q5">
        <f t="shared" si="12"/>
        <v>6.9707602339181716E-3</v>
      </c>
    </row>
    <row r="6" spans="1:17" x14ac:dyDescent="0.3">
      <c r="A6">
        <v>5</v>
      </c>
      <c r="B6">
        <v>108</v>
      </c>
      <c r="C6">
        <v>176.1</v>
      </c>
      <c r="D6">
        <f t="shared" si="4"/>
        <v>103.8</v>
      </c>
      <c r="E6">
        <f t="shared" si="5"/>
        <v>174.19775999999999</v>
      </c>
      <c r="F6">
        <f t="shared" si="13"/>
        <v>104.136</v>
      </c>
      <c r="G6">
        <f t="shared" si="6"/>
        <v>174.85209599999999</v>
      </c>
      <c r="H6">
        <f t="shared" si="0"/>
        <v>103.464</v>
      </c>
      <c r="I6">
        <f t="shared" si="1"/>
        <v>173.54342399999999</v>
      </c>
      <c r="J6">
        <f t="shared" si="2"/>
        <v>-0.22399999999999903</v>
      </c>
      <c r="K6">
        <f t="shared" si="3"/>
        <v>-0.4362240000000005</v>
      </c>
      <c r="L6">
        <f t="shared" si="7"/>
        <v>95.4</v>
      </c>
      <c r="M6">
        <f t="shared" si="8"/>
        <v>168.99839999999998</v>
      </c>
      <c r="N6">
        <f t="shared" si="9"/>
        <v>12.599999999999994</v>
      </c>
      <c r="O6">
        <f t="shared" si="10"/>
        <v>7.101600000000019</v>
      </c>
      <c r="P6">
        <f t="shared" si="11"/>
        <v>0.11666666666666661</v>
      </c>
      <c r="Q6">
        <f t="shared" si="12"/>
        <v>4.0327086882453261E-2</v>
      </c>
    </row>
    <row r="7" spans="1:17" x14ac:dyDescent="0.3">
      <c r="A7">
        <v>6</v>
      </c>
      <c r="B7">
        <v>98</v>
      </c>
      <c r="C7">
        <v>171.9</v>
      </c>
      <c r="D7">
        <f t="shared" si="4"/>
        <v>101.47999999999999</v>
      </c>
      <c r="E7">
        <f t="shared" si="5"/>
        <v>173.27865600000001</v>
      </c>
      <c r="F7">
        <f t="shared" si="13"/>
        <v>103.0736</v>
      </c>
      <c r="G7">
        <f t="shared" si="6"/>
        <v>174.22271999999998</v>
      </c>
      <c r="H7">
        <f t="shared" si="0"/>
        <v>99.886399999999981</v>
      </c>
      <c r="I7">
        <f t="shared" si="1"/>
        <v>172.33459200000004</v>
      </c>
      <c r="J7">
        <f t="shared" si="2"/>
        <v>-1.0624000000000062</v>
      </c>
      <c r="K7">
        <f t="shared" si="3"/>
        <v>-0.6293759999999794</v>
      </c>
      <c r="L7">
        <f t="shared" si="7"/>
        <v>103.24</v>
      </c>
      <c r="M7">
        <f t="shared" si="8"/>
        <v>173.10719999999998</v>
      </c>
      <c r="N7">
        <f t="shared" si="9"/>
        <v>5.2399999999999949</v>
      </c>
      <c r="O7">
        <f t="shared" si="10"/>
        <v>1.2071999999999719</v>
      </c>
      <c r="P7">
        <f t="shared" si="11"/>
        <v>5.3469387755101988E-2</v>
      </c>
      <c r="Q7">
        <f t="shared" si="12"/>
        <v>7.0226876090748796E-3</v>
      </c>
    </row>
    <row r="8" spans="1:17" x14ac:dyDescent="0.3">
      <c r="A8">
        <v>7</v>
      </c>
      <c r="B8">
        <v>93</v>
      </c>
      <c r="C8">
        <v>167.9</v>
      </c>
      <c r="D8">
        <f t="shared" si="4"/>
        <v>98.087999999999994</v>
      </c>
      <c r="E8">
        <f t="shared" si="5"/>
        <v>171.1271936</v>
      </c>
      <c r="F8">
        <f t="shared" si="13"/>
        <v>101.07935999999999</v>
      </c>
      <c r="G8">
        <f>0.4*E8+(1-0.4)*G7</f>
        <v>172.98450943999998</v>
      </c>
      <c r="H8">
        <f t="shared" si="0"/>
        <v>95.096639999999994</v>
      </c>
      <c r="I8">
        <f t="shared" si="1"/>
        <v>169.26987776000001</v>
      </c>
      <c r="J8">
        <f t="shared" si="2"/>
        <v>-1.9942400000000005</v>
      </c>
      <c r="K8">
        <f t="shared" si="3"/>
        <v>-1.2382105599999895</v>
      </c>
      <c r="L8">
        <f t="shared" si="7"/>
        <v>98.82399999999997</v>
      </c>
      <c r="M8">
        <f>I7+K7*1</f>
        <v>171.70521600000006</v>
      </c>
      <c r="N8">
        <f t="shared" si="9"/>
        <v>5.8239999999999696</v>
      </c>
      <c r="O8">
        <f t="shared" si="10"/>
        <v>3.8052160000000583</v>
      </c>
      <c r="P8">
        <f t="shared" si="11"/>
        <v>6.2623655913978171E-2</v>
      </c>
      <c r="Q8">
        <f t="shared" si="12"/>
        <v>2.2663585467540548E-2</v>
      </c>
    </row>
    <row r="9" spans="1:17" x14ac:dyDescent="0.3">
      <c r="A9">
        <v>8</v>
      </c>
      <c r="B9">
        <v>93</v>
      </c>
      <c r="C9">
        <v>169.1</v>
      </c>
      <c r="D9">
        <f t="shared" si="4"/>
        <v>96.052799999999991</v>
      </c>
      <c r="E9">
        <f t="shared" si="5"/>
        <v>170.31631615999999</v>
      </c>
      <c r="F9">
        <f t="shared" si="13"/>
        <v>99.068736000000001</v>
      </c>
      <c r="G9">
        <f t="shared" si="6"/>
        <v>171.91723212799997</v>
      </c>
      <c r="H9">
        <f t="shared" si="0"/>
        <v>93.03686399999998</v>
      </c>
      <c r="I9">
        <f t="shared" si="1"/>
        <v>168.715400192</v>
      </c>
      <c r="J9">
        <f t="shared" si="2"/>
        <v>-2.0106240000000075</v>
      </c>
      <c r="K9">
        <f t="shared" si="3"/>
        <v>-1.0672773119999877</v>
      </c>
      <c r="L9">
        <f t="shared" si="7"/>
        <v>93.102399999999989</v>
      </c>
      <c r="M9">
        <f t="shared" si="8"/>
        <v>168.03166720000002</v>
      </c>
      <c r="N9">
        <f t="shared" si="9"/>
        <v>0.10239999999998872</v>
      </c>
      <c r="O9">
        <f t="shared" si="10"/>
        <v>1.068332799999979</v>
      </c>
      <c r="P9">
        <f t="shared" si="11"/>
        <v>1.1010752688170829E-3</v>
      </c>
      <c r="Q9">
        <f t="shared" si="12"/>
        <v>6.3177575399170844E-3</v>
      </c>
    </row>
    <row r="10" spans="1:17" x14ac:dyDescent="0.3">
      <c r="A10">
        <v>9</v>
      </c>
      <c r="B10">
        <v>103</v>
      </c>
      <c r="C10">
        <v>174.4</v>
      </c>
      <c r="D10">
        <f t="shared" si="4"/>
        <v>98.831679999999992</v>
      </c>
      <c r="E10">
        <f t="shared" si="5"/>
        <v>171.94978969599998</v>
      </c>
      <c r="F10">
        <f t="shared" si="13"/>
        <v>98.973913600000003</v>
      </c>
      <c r="G10">
        <f t="shared" si="6"/>
        <v>171.93025515519997</v>
      </c>
      <c r="H10">
        <f t="shared" si="0"/>
        <v>98.68944639999998</v>
      </c>
      <c r="I10">
        <f t="shared" si="1"/>
        <v>171.96932423679999</v>
      </c>
      <c r="J10">
        <f t="shared" si="2"/>
        <v>-9.4822400000007676E-2</v>
      </c>
      <c r="K10">
        <f t="shared" si="3"/>
        <v>1.3023027200006256E-2</v>
      </c>
      <c r="L10">
        <f t="shared" si="7"/>
        <v>91.026239999999973</v>
      </c>
      <c r="M10">
        <f t="shared" si="8"/>
        <v>167.64812288000002</v>
      </c>
      <c r="N10">
        <f t="shared" si="9"/>
        <v>11.973760000000027</v>
      </c>
      <c r="O10">
        <f t="shared" si="10"/>
        <v>6.751877119999989</v>
      </c>
      <c r="P10">
        <f t="shared" si="11"/>
        <v>0.11625009708737891</v>
      </c>
      <c r="Q10">
        <f t="shared" si="12"/>
        <v>3.8714891743119199E-2</v>
      </c>
    </row>
    <row r="11" spans="1:17" x14ac:dyDescent="0.3">
      <c r="A11">
        <v>10</v>
      </c>
      <c r="B11">
        <v>103</v>
      </c>
      <c r="C11">
        <v>174.3</v>
      </c>
      <c r="D11">
        <f t="shared" si="4"/>
        <v>100.499008</v>
      </c>
      <c r="E11">
        <f t="shared" si="5"/>
        <v>172.88987381760001</v>
      </c>
      <c r="F11">
        <f t="shared" si="13"/>
        <v>99.583951360000015</v>
      </c>
      <c r="G11">
        <f t="shared" si="6"/>
        <v>172.31410262015999</v>
      </c>
      <c r="H11">
        <f t="shared" si="0"/>
        <v>101.41406463999999</v>
      </c>
      <c r="I11">
        <f t="shared" si="1"/>
        <v>173.46564501504002</v>
      </c>
      <c r="J11">
        <f t="shared" si="2"/>
        <v>0.61003775999999266</v>
      </c>
      <c r="K11">
        <f t="shared" si="3"/>
        <v>0.38384746496001304</v>
      </c>
      <c r="L11">
        <f t="shared" si="7"/>
        <v>98.594623999999968</v>
      </c>
      <c r="M11">
        <f t="shared" si="8"/>
        <v>171.982347264</v>
      </c>
      <c r="N11">
        <f t="shared" si="9"/>
        <v>4.4053760000000324</v>
      </c>
      <c r="O11">
        <f t="shared" si="10"/>
        <v>2.3176527360000136</v>
      </c>
      <c r="P11">
        <f t="shared" si="11"/>
        <v>4.2770640776699342E-2</v>
      </c>
      <c r="Q11">
        <f t="shared" si="12"/>
        <v>1.3296917590361524E-2</v>
      </c>
    </row>
    <row r="12" spans="1:17" x14ac:dyDescent="0.3">
      <c r="A12">
        <v>11</v>
      </c>
      <c r="B12">
        <v>93</v>
      </c>
      <c r="C12">
        <v>169.9</v>
      </c>
      <c r="D12">
        <f t="shared" si="4"/>
        <v>97.499404800000008</v>
      </c>
      <c r="E12">
        <f t="shared" si="5"/>
        <v>171.69392429056001</v>
      </c>
      <c r="F12">
        <f t="shared" si="13"/>
        <v>98.750132736000012</v>
      </c>
      <c r="G12">
        <f t="shared" si="6"/>
        <v>172.06603128832</v>
      </c>
      <c r="H12">
        <f t="shared" si="0"/>
        <v>96.248676864000004</v>
      </c>
      <c r="I12">
        <f t="shared" si="1"/>
        <v>171.32181729280001</v>
      </c>
      <c r="J12">
        <f t="shared" si="2"/>
        <v>-0.83381862400000284</v>
      </c>
      <c r="K12">
        <f t="shared" si="3"/>
        <v>-0.24807133183999974</v>
      </c>
      <c r="L12">
        <f t="shared" si="7"/>
        <v>102.02410239999999</v>
      </c>
      <c r="M12">
        <f t="shared" si="8"/>
        <v>173.84949248000004</v>
      </c>
      <c r="N12">
        <f t="shared" si="9"/>
        <v>9.0241023999999896</v>
      </c>
      <c r="O12">
        <f t="shared" si="10"/>
        <v>3.9494924800000319</v>
      </c>
      <c r="P12">
        <f t="shared" si="11"/>
        <v>9.7033359139784836E-2</v>
      </c>
      <c r="Q12">
        <f t="shared" si="12"/>
        <v>2.3245982813419847E-2</v>
      </c>
    </row>
    <row r="13" spans="1:17" x14ac:dyDescent="0.3">
      <c r="A13">
        <v>12</v>
      </c>
      <c r="B13">
        <v>108</v>
      </c>
      <c r="C13">
        <v>178.6</v>
      </c>
      <c r="D13">
        <f t="shared" si="4"/>
        <v>101.69964288</v>
      </c>
      <c r="E13">
        <f t="shared" si="5"/>
        <v>174.45635457433599</v>
      </c>
      <c r="F13">
        <f t="shared" si="13"/>
        <v>99.929936793600007</v>
      </c>
      <c r="G13">
        <f t="shared" si="6"/>
        <v>173.02216060272639</v>
      </c>
      <c r="H13">
        <f t="shared" si="0"/>
        <v>103.46934896639999</v>
      </c>
      <c r="I13">
        <f t="shared" si="1"/>
        <v>175.89054854594559</v>
      </c>
      <c r="J13">
        <f t="shared" si="2"/>
        <v>1.1798040575999951</v>
      </c>
      <c r="K13">
        <f t="shared" si="3"/>
        <v>0.95612931440640159</v>
      </c>
      <c r="L13">
        <f t="shared" si="7"/>
        <v>95.414858240000001</v>
      </c>
      <c r="M13">
        <f t="shared" si="8"/>
        <v>171.07374596096</v>
      </c>
      <c r="N13">
        <f t="shared" si="9"/>
        <v>12.585141759999999</v>
      </c>
      <c r="O13">
        <f t="shared" si="10"/>
        <v>7.5262540390399977</v>
      </c>
      <c r="P13">
        <f t="shared" si="11"/>
        <v>0.11652909037037036</v>
      </c>
      <c r="Q13">
        <f t="shared" si="12"/>
        <v>4.2140280173796181E-2</v>
      </c>
    </row>
    <row r="14" spans="1:17" x14ac:dyDescent="0.3">
      <c r="A14">
        <v>13</v>
      </c>
      <c r="B14">
        <v>103</v>
      </c>
      <c r="C14">
        <v>179.4</v>
      </c>
      <c r="D14">
        <f t="shared" si="4"/>
        <v>102.21978572800001</v>
      </c>
      <c r="E14">
        <f t="shared" si="5"/>
        <v>176.4338127446016</v>
      </c>
      <c r="F14">
        <f t="shared" si="13"/>
        <v>100.84587636736001</v>
      </c>
      <c r="G14">
        <f t="shared" si="6"/>
        <v>174.38682145947649</v>
      </c>
      <c r="H14">
        <f t="shared" si="0"/>
        <v>103.59369508864</v>
      </c>
      <c r="I14">
        <f t="shared" si="1"/>
        <v>178.4808040297267</v>
      </c>
      <c r="J14">
        <f t="shared" si="2"/>
        <v>0.91593957375999946</v>
      </c>
      <c r="K14">
        <f t="shared" si="3"/>
        <v>1.3646608567500684</v>
      </c>
      <c r="L14">
        <f t="shared" si="7"/>
        <v>104.64915302399999</v>
      </c>
      <c r="M14">
        <f t="shared" si="8"/>
        <v>176.846677860352</v>
      </c>
      <c r="N14">
        <f t="shared" si="9"/>
        <v>1.6491530239999861</v>
      </c>
      <c r="O14">
        <f t="shared" si="10"/>
        <v>2.553322139648003</v>
      </c>
      <c r="P14">
        <f t="shared" si="11"/>
        <v>1.6011194407766854E-2</v>
      </c>
      <c r="Q14">
        <f t="shared" si="12"/>
        <v>1.4232564880981064E-2</v>
      </c>
    </row>
    <row r="15" spans="1:17" x14ac:dyDescent="0.3">
      <c r="A15">
        <v>14</v>
      </c>
      <c r="B15">
        <v>93</v>
      </c>
      <c r="C15">
        <v>176.5</v>
      </c>
      <c r="D15">
        <f t="shared" si="4"/>
        <v>98.531871436800003</v>
      </c>
      <c r="E15">
        <f t="shared" si="5"/>
        <v>176.46028764676095</v>
      </c>
      <c r="F15">
        <f t="shared" si="13"/>
        <v>99.920274395136005</v>
      </c>
      <c r="G15">
        <f t="shared" si="6"/>
        <v>175.2162079343903</v>
      </c>
      <c r="H15">
        <f t="shared" si="0"/>
        <v>97.143468478464001</v>
      </c>
      <c r="I15">
        <f t="shared" si="1"/>
        <v>177.7043673591316</v>
      </c>
      <c r="J15">
        <f t="shared" si="2"/>
        <v>-0.92560197222400131</v>
      </c>
      <c r="K15">
        <f t="shared" si="3"/>
        <v>0.82938647491376594</v>
      </c>
      <c r="L15">
        <f t="shared" si="7"/>
        <v>104.5096346624</v>
      </c>
      <c r="M15">
        <f t="shared" si="8"/>
        <v>179.84546488647678</v>
      </c>
      <c r="N15">
        <f t="shared" si="9"/>
        <v>11.509634662400003</v>
      </c>
      <c r="O15">
        <f t="shared" si="10"/>
        <v>3.3454648864767762</v>
      </c>
      <c r="P15">
        <f t="shared" si="11"/>
        <v>0.12375951249892476</v>
      </c>
      <c r="Q15">
        <f t="shared" si="12"/>
        <v>1.8954475277488819E-2</v>
      </c>
    </row>
    <row r="16" spans="1:17" x14ac:dyDescent="0.3">
      <c r="A16">
        <v>15</v>
      </c>
      <c r="B16">
        <v>98</v>
      </c>
      <c r="C16">
        <v>181.5</v>
      </c>
      <c r="D16">
        <f t="shared" si="4"/>
        <v>98.319122862080008</v>
      </c>
      <c r="E16">
        <f t="shared" si="5"/>
        <v>178.47617258805656</v>
      </c>
      <c r="F16">
        <f t="shared" si="13"/>
        <v>99.279813781913617</v>
      </c>
      <c r="G16">
        <f t="shared" si="6"/>
        <v>176.52019379585681</v>
      </c>
      <c r="H16">
        <f t="shared" si="0"/>
        <v>97.358431942246398</v>
      </c>
      <c r="I16">
        <f t="shared" si="1"/>
        <v>180.4321513802563</v>
      </c>
      <c r="J16">
        <f t="shared" si="2"/>
        <v>-0.64046061322240655</v>
      </c>
      <c r="K16">
        <f t="shared" si="3"/>
        <v>1.3039858614664961</v>
      </c>
      <c r="L16">
        <f t="shared" si="7"/>
        <v>96.21786650624</v>
      </c>
      <c r="M16">
        <f t="shared" si="8"/>
        <v>178.53375383404537</v>
      </c>
      <c r="N16">
        <f t="shared" si="9"/>
        <v>1.78213349376</v>
      </c>
      <c r="O16">
        <f t="shared" si="10"/>
        <v>2.9662461659546295</v>
      </c>
      <c r="P16">
        <f t="shared" si="11"/>
        <v>1.8185035650612243E-2</v>
      </c>
      <c r="Q16">
        <f t="shared" si="12"/>
        <v>1.6342954082394653E-2</v>
      </c>
    </row>
    <row r="17" spans="1:23" x14ac:dyDescent="0.3">
      <c r="A17">
        <v>16</v>
      </c>
      <c r="B17">
        <v>113</v>
      </c>
      <c r="C17">
        <v>193</v>
      </c>
      <c r="D17">
        <f t="shared" si="4"/>
        <v>104.191473717248</v>
      </c>
      <c r="E17">
        <f t="shared" si="5"/>
        <v>184.28570355283392</v>
      </c>
      <c r="F17">
        <f t="shared" si="13"/>
        <v>101.24447775604737</v>
      </c>
      <c r="G17">
        <f t="shared" si="6"/>
        <v>179.62639769864768</v>
      </c>
      <c r="H17">
        <f t="shared" si="0"/>
        <v>107.13846967844863</v>
      </c>
      <c r="I17">
        <f t="shared" si="1"/>
        <v>188.94500940702017</v>
      </c>
      <c r="J17">
        <f t="shared" si="2"/>
        <v>1.9646639741337522</v>
      </c>
      <c r="K17">
        <f t="shared" si="3"/>
        <v>3.106203902790829</v>
      </c>
      <c r="L17">
        <f t="shared" si="7"/>
        <v>96.717971329023996</v>
      </c>
      <c r="M17">
        <f t="shared" si="8"/>
        <v>181.73613724172279</v>
      </c>
      <c r="N17">
        <f t="shared" si="9"/>
        <v>16.282028670976004</v>
      </c>
      <c r="O17">
        <f t="shared" si="10"/>
        <v>11.263862758277213</v>
      </c>
      <c r="P17">
        <f t="shared" si="11"/>
        <v>0.14408874930067261</v>
      </c>
      <c r="Q17">
        <f t="shared" si="12"/>
        <v>5.8361983203508876E-2</v>
      </c>
    </row>
    <row r="18" spans="1:23" x14ac:dyDescent="0.3">
      <c r="A18">
        <v>17</v>
      </c>
      <c r="B18">
        <v>103</v>
      </c>
      <c r="C18">
        <v>191.5</v>
      </c>
      <c r="D18">
        <f t="shared" si="4"/>
        <v>103.7148842303488</v>
      </c>
      <c r="E18">
        <f t="shared" si="5"/>
        <v>187.17142213170035</v>
      </c>
      <c r="F18">
        <f t="shared" si="13"/>
        <v>102.23264034576795</v>
      </c>
      <c r="G18">
        <f t="shared" si="6"/>
        <v>182.64440747186876</v>
      </c>
      <c r="H18">
        <f t="shared" si="0"/>
        <v>105.19712811492965</v>
      </c>
      <c r="I18">
        <f t="shared" si="1"/>
        <v>191.69843679153195</v>
      </c>
      <c r="J18">
        <f t="shared" si="2"/>
        <v>0.98816258972056903</v>
      </c>
      <c r="K18">
        <f t="shared" si="3"/>
        <v>3.0180097732210625</v>
      </c>
      <c r="L18">
        <f t="shared" si="7"/>
        <v>109.10313365258239</v>
      </c>
      <c r="M18">
        <f t="shared" si="8"/>
        <v>192.051213309811</v>
      </c>
      <c r="N18">
        <f t="shared" si="9"/>
        <v>6.103133652582386</v>
      </c>
      <c r="O18">
        <f t="shared" si="10"/>
        <v>0.55121330981100414</v>
      </c>
      <c r="P18">
        <f t="shared" si="11"/>
        <v>5.9253724782353259E-2</v>
      </c>
      <c r="Q18">
        <f t="shared" si="12"/>
        <v>2.8783984846527631E-3</v>
      </c>
      <c r="V18" t="s">
        <v>18</v>
      </c>
      <c r="W18" t="s">
        <v>19</v>
      </c>
    </row>
    <row r="19" spans="1:23" x14ac:dyDescent="0.3">
      <c r="A19">
        <v>18</v>
      </c>
      <c r="B19">
        <v>93</v>
      </c>
      <c r="C19">
        <v>187.6</v>
      </c>
      <c r="D19">
        <f t="shared" si="4"/>
        <v>99.428930538209272</v>
      </c>
      <c r="E19">
        <f t="shared" si="5"/>
        <v>187.34285327902023</v>
      </c>
      <c r="F19">
        <f t="shared" si="13"/>
        <v>101.11115642274447</v>
      </c>
      <c r="G19">
        <f t="shared" si="6"/>
        <v>184.52378579472935</v>
      </c>
      <c r="H19">
        <f t="shared" si="0"/>
        <v>97.746704653674072</v>
      </c>
      <c r="I19">
        <f t="shared" si="1"/>
        <v>190.16192076331112</v>
      </c>
      <c r="J19">
        <f t="shared" si="2"/>
        <v>-1.1214839230234666</v>
      </c>
      <c r="K19">
        <f t="shared" si="3"/>
        <v>1.8793783228605891</v>
      </c>
      <c r="L19">
        <f t="shared" si="7"/>
        <v>106.18529070465023</v>
      </c>
      <c r="M19">
        <f t="shared" si="8"/>
        <v>194.716446564753</v>
      </c>
      <c r="N19">
        <f t="shared" si="9"/>
        <v>13.185290704650228</v>
      </c>
      <c r="O19">
        <f t="shared" si="10"/>
        <v>7.1164465647530051</v>
      </c>
      <c r="P19">
        <f t="shared" si="11"/>
        <v>0.14177731940484117</v>
      </c>
      <c r="Q19">
        <f t="shared" si="12"/>
        <v>3.7934150131945656E-2</v>
      </c>
      <c r="T19" t="s">
        <v>11</v>
      </c>
      <c r="U19" t="s">
        <v>12</v>
      </c>
      <c r="V19">
        <f>AVERAGE(N3:N25)</f>
        <v>8.6122609625829263</v>
      </c>
      <c r="W19">
        <f>AVERAGE(O3:O25)</f>
        <v>4.4813133949564428</v>
      </c>
    </row>
    <row r="20" spans="1:23" x14ac:dyDescent="0.3">
      <c r="A20">
        <v>19</v>
      </c>
      <c r="B20">
        <v>103</v>
      </c>
      <c r="C20">
        <v>195.1</v>
      </c>
      <c r="D20">
        <f t="shared" si="4"/>
        <v>100.85735832292556</v>
      </c>
      <c r="E20">
        <f t="shared" si="5"/>
        <v>190.44571196741214</v>
      </c>
      <c r="F20">
        <f t="shared" si="13"/>
        <v>101.0096371828169</v>
      </c>
      <c r="G20">
        <f t="shared" si="6"/>
        <v>186.89255626380248</v>
      </c>
      <c r="H20">
        <f t="shared" si="0"/>
        <v>100.70507946303422</v>
      </c>
      <c r="I20">
        <f t="shared" si="1"/>
        <v>193.9988676710218</v>
      </c>
      <c r="J20">
        <f t="shared" si="2"/>
        <v>-0.1015192399275596</v>
      </c>
      <c r="K20">
        <f t="shared" si="3"/>
        <v>2.368770469073108</v>
      </c>
      <c r="L20">
        <f t="shared" si="7"/>
        <v>96.625220730650611</v>
      </c>
      <c r="M20">
        <f t="shared" si="8"/>
        <v>192.0412990861717</v>
      </c>
      <c r="N20">
        <f t="shared" si="9"/>
        <v>6.3747792693493892</v>
      </c>
      <c r="O20">
        <f t="shared" si="10"/>
        <v>3.0587009138282895</v>
      </c>
      <c r="P20">
        <f t="shared" si="11"/>
        <v>6.1891060867469795E-2</v>
      </c>
      <c r="Q20">
        <f t="shared" si="12"/>
        <v>1.5677605914035313E-2</v>
      </c>
    </row>
    <row r="21" spans="1:23" x14ac:dyDescent="0.3">
      <c r="A21">
        <v>20</v>
      </c>
      <c r="B21">
        <v>108</v>
      </c>
      <c r="C21">
        <v>198.9</v>
      </c>
      <c r="D21">
        <f t="shared" si="4"/>
        <v>103.71441499375534</v>
      </c>
      <c r="E21">
        <f t="shared" si="5"/>
        <v>193.82742718044727</v>
      </c>
      <c r="F21">
        <f t="shared" si="13"/>
        <v>102.09154830719228</v>
      </c>
      <c r="G21">
        <f t="shared" si="6"/>
        <v>189.66650463046039</v>
      </c>
      <c r="H21">
        <f t="shared" si="0"/>
        <v>105.3372816803184</v>
      </c>
      <c r="I21">
        <f t="shared" si="1"/>
        <v>197.98834973043415</v>
      </c>
      <c r="J21">
        <f t="shared" si="2"/>
        <v>1.0819111243753716</v>
      </c>
      <c r="K21">
        <f t="shared" si="3"/>
        <v>2.7739483666579194</v>
      </c>
      <c r="L21">
        <f t="shared" si="7"/>
        <v>100.60356022310667</v>
      </c>
      <c r="M21">
        <f t="shared" si="8"/>
        <v>196.3676381400949</v>
      </c>
      <c r="N21">
        <f t="shared" si="9"/>
        <v>7.396439776893331</v>
      </c>
      <c r="O21">
        <f t="shared" si="10"/>
        <v>2.5323618599051088</v>
      </c>
      <c r="P21">
        <f t="shared" si="11"/>
        <v>6.8485553489753062E-2</v>
      </c>
      <c r="Q21">
        <f t="shared" si="12"/>
        <v>1.2731834388663191E-2</v>
      </c>
      <c r="T21" t="s">
        <v>13</v>
      </c>
      <c r="U21" t="s">
        <v>12</v>
      </c>
      <c r="V21">
        <f>SUMSQ(N3:N25)/COUNT(N3:N25)</f>
        <v>111.39404878707809</v>
      </c>
      <c r="W21">
        <f>SUMSQ(O3:O25)/COUNT(O3:O25)</f>
        <v>32.500680024714264</v>
      </c>
    </row>
    <row r="22" spans="1:23" x14ac:dyDescent="0.3">
      <c r="A22">
        <v>21</v>
      </c>
      <c r="B22">
        <v>113</v>
      </c>
      <c r="C22">
        <v>202.7</v>
      </c>
      <c r="D22">
        <f t="shared" si="4"/>
        <v>107.4286489962532</v>
      </c>
      <c r="E22">
        <f t="shared" si="5"/>
        <v>197.37645630826836</v>
      </c>
      <c r="F22">
        <f t="shared" si="13"/>
        <v>104.22638858281665</v>
      </c>
      <c r="G22">
        <f t="shared" si="6"/>
        <v>192.75048530158358</v>
      </c>
      <c r="H22">
        <f t="shared" si="0"/>
        <v>110.63090940968975</v>
      </c>
      <c r="I22">
        <f t="shared" si="1"/>
        <v>202.00242731495314</v>
      </c>
      <c r="J22">
        <f t="shared" si="2"/>
        <v>2.1348402756243656</v>
      </c>
      <c r="K22">
        <f t="shared" si="3"/>
        <v>3.0839806711231863</v>
      </c>
      <c r="L22">
        <f t="shared" si="7"/>
        <v>106.41919280469376</v>
      </c>
      <c r="M22">
        <f t="shared" si="8"/>
        <v>200.76229809709207</v>
      </c>
      <c r="N22">
        <f t="shared" si="9"/>
        <v>6.5808071953062353</v>
      </c>
      <c r="O22">
        <f t="shared" si="10"/>
        <v>1.9377019029079179</v>
      </c>
      <c r="P22">
        <f t="shared" si="11"/>
        <v>5.8237231816869336E-2</v>
      </c>
      <c r="Q22">
        <f>O22/C22</f>
        <v>9.5594568471036902E-3</v>
      </c>
    </row>
    <row r="23" spans="1:23" x14ac:dyDescent="0.3">
      <c r="A23">
        <v>22</v>
      </c>
      <c r="B23">
        <v>103</v>
      </c>
      <c r="C23">
        <v>200.1</v>
      </c>
      <c r="D23">
        <f t="shared" si="4"/>
        <v>105.65718939775192</v>
      </c>
      <c r="E23">
        <f t="shared" si="5"/>
        <v>198.46587378496102</v>
      </c>
      <c r="F23">
        <f t="shared" si="13"/>
        <v>104.79870890879076</v>
      </c>
      <c r="G23">
        <f t="shared" si="6"/>
        <v>195.03664069493456</v>
      </c>
      <c r="H23">
        <f t="shared" si="0"/>
        <v>106.51566988671308</v>
      </c>
      <c r="I23">
        <f t="shared" si="1"/>
        <v>201.89510687498748</v>
      </c>
      <c r="J23">
        <f t="shared" si="2"/>
        <v>0.57232032597410887</v>
      </c>
      <c r="K23">
        <f t="shared" si="3"/>
        <v>2.2861553933509717</v>
      </c>
      <c r="L23">
        <f t="shared" si="7"/>
        <v>112.76574968531412</v>
      </c>
      <c r="M23">
        <f t="shared" si="8"/>
        <v>205.08640798607632</v>
      </c>
      <c r="N23">
        <f t="shared" si="9"/>
        <v>9.7657496853141197</v>
      </c>
      <c r="O23">
        <f t="shared" si="10"/>
        <v>4.9864079860763297</v>
      </c>
      <c r="P23">
        <f t="shared" si="11"/>
        <v>9.4813103740913784E-2</v>
      </c>
      <c r="Q23">
        <f t="shared" si="12"/>
        <v>2.4919580140311495E-2</v>
      </c>
      <c r="T23" t="s">
        <v>16</v>
      </c>
      <c r="U23" t="s">
        <v>12</v>
      </c>
      <c r="V23">
        <f>SQRT(SUMSQ(N3:N25))/COUNT(N3:N25)</f>
        <v>2.200731585741809</v>
      </c>
      <c r="W23">
        <f>SQRT(SUMSQ(O3:O25))/COUNT(O3:O25)</f>
        <v>1.1887274896092854</v>
      </c>
    </row>
    <row r="24" spans="1:23" x14ac:dyDescent="0.3">
      <c r="A24">
        <v>23</v>
      </c>
      <c r="B24">
        <v>88</v>
      </c>
      <c r="C24">
        <v>193.5</v>
      </c>
      <c r="D24">
        <f t="shared" si="4"/>
        <v>98.594313638651158</v>
      </c>
      <c r="E24">
        <f t="shared" si="5"/>
        <v>196.47952427097661</v>
      </c>
      <c r="F24">
        <f t="shared" si="13"/>
        <v>102.31695080073492</v>
      </c>
      <c r="G24">
        <f t="shared" si="6"/>
        <v>195.61379412535138</v>
      </c>
      <c r="H24">
        <f t="shared" si="0"/>
        <v>94.871676476567401</v>
      </c>
      <c r="I24">
        <f t="shared" si="1"/>
        <v>197.34525441660185</v>
      </c>
      <c r="J24">
        <f t="shared" si="2"/>
        <v>-2.4817581080558382</v>
      </c>
      <c r="K24">
        <f t="shared" si="3"/>
        <v>0.57715343041682377</v>
      </c>
      <c r="L24">
        <f t="shared" si="7"/>
        <v>107.08799021268719</v>
      </c>
      <c r="M24">
        <f t="shared" si="8"/>
        <v>204.18126226833846</v>
      </c>
      <c r="N24">
        <f t="shared" si="9"/>
        <v>19.087990212687188</v>
      </c>
      <c r="O24">
        <f t="shared" si="10"/>
        <v>10.681262268338457</v>
      </c>
      <c r="P24">
        <f t="shared" si="11"/>
        <v>0.21690897968962713</v>
      </c>
      <c r="Q24">
        <f t="shared" si="12"/>
        <v>5.5200321800198744E-2</v>
      </c>
    </row>
    <row r="25" spans="1:23" x14ac:dyDescent="0.3">
      <c r="A25">
        <v>24</v>
      </c>
      <c r="B25">
        <v>93</v>
      </c>
      <c r="C25">
        <v>198.9</v>
      </c>
      <c r="D25">
        <f t="shared" si="4"/>
        <v>96.356588183190695</v>
      </c>
      <c r="E25">
        <f t="shared" si="5"/>
        <v>197.44771456258596</v>
      </c>
      <c r="F25">
        <f>0.4*D25+(1-0.4)*F24</f>
        <v>99.932805753717219</v>
      </c>
      <c r="G25">
        <f t="shared" si="6"/>
        <v>196.34736230024521</v>
      </c>
      <c r="H25">
        <f t="shared" si="0"/>
        <v>92.780370612664171</v>
      </c>
      <c r="I25">
        <f t="shared" si="1"/>
        <v>198.54806682492671</v>
      </c>
      <c r="J25">
        <f t="shared" si="2"/>
        <v>-2.3841450470176828</v>
      </c>
      <c r="K25">
        <f t="shared" si="3"/>
        <v>0.73356817489383286</v>
      </c>
      <c r="L25">
        <f t="shared" si="7"/>
        <v>92.389918368511559</v>
      </c>
      <c r="M25">
        <f t="shared" si="8"/>
        <v>197.92240784701866</v>
      </c>
      <c r="N25">
        <f t="shared" si="9"/>
        <v>0.61008163148844119</v>
      </c>
      <c r="O25">
        <f t="shared" si="10"/>
        <v>0.9775921529813445</v>
      </c>
      <c r="P25">
        <f t="shared" si="11"/>
        <v>6.5600175428864645E-3</v>
      </c>
      <c r="Q25">
        <f t="shared" si="12"/>
        <v>4.9149932276588461E-3</v>
      </c>
      <c r="T25" t="s">
        <v>38</v>
      </c>
      <c r="U25" t="s">
        <v>12</v>
      </c>
      <c r="V25" s="3">
        <f>AVERAGE(P3:P25)</f>
        <v>8.7295557631992468E-2</v>
      </c>
      <c r="W25" s="3">
        <f>AVERAGE(Q3:Q25)</f>
        <v>2.4726282743058041E-2</v>
      </c>
    </row>
    <row r="26" spans="1:23" x14ac:dyDescent="0.3">
      <c r="L26">
        <f t="shared" si="7"/>
        <v>90.396225565646489</v>
      </c>
      <c r="M26">
        <f t="shared" si="8"/>
        <v>199.28163499982054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DEAC-FAF0-48B9-BB5B-6FF7CCA32CDB}">
  <dimension ref="A3:E22"/>
  <sheetViews>
    <sheetView tabSelected="1" workbookViewId="0">
      <selection activeCell="H15" sqref="H15"/>
    </sheetView>
  </sheetViews>
  <sheetFormatPr defaultRowHeight="14.4" x14ac:dyDescent="0.3"/>
  <cols>
    <col min="1" max="2" width="12.33203125" bestFit="1" customWidth="1"/>
    <col min="3" max="3" width="12" bestFit="1" customWidth="1"/>
    <col min="4" max="4" width="13.109375" bestFit="1" customWidth="1"/>
    <col min="5" max="5" width="13.21875" bestFit="1" customWidth="1"/>
  </cols>
  <sheetData>
    <row r="3" spans="1:5" x14ac:dyDescent="0.3">
      <c r="A3" s="5" t="s">
        <v>49</v>
      </c>
      <c r="B3" s="5"/>
      <c r="C3" s="5"/>
      <c r="D3" s="5"/>
      <c r="E3" s="5"/>
    </row>
    <row r="4" spans="1:5" x14ac:dyDescent="0.3">
      <c r="A4" s="4"/>
      <c r="B4" s="6" t="s">
        <v>54</v>
      </c>
      <c r="C4" s="6" t="s">
        <v>55</v>
      </c>
      <c r="D4" s="6" t="s">
        <v>56</v>
      </c>
      <c r="E4" s="6" t="s">
        <v>57</v>
      </c>
    </row>
    <row r="5" spans="1:5" x14ac:dyDescent="0.3">
      <c r="A5" s="6" t="s">
        <v>50</v>
      </c>
      <c r="B5" s="4">
        <v>7.6190476190476186</v>
      </c>
      <c r="C5" s="4">
        <v>79.100529100529101</v>
      </c>
      <c r="D5" s="4">
        <v>1.940796708037696</v>
      </c>
      <c r="E5" s="7">
        <v>7.661075482634723E-2</v>
      </c>
    </row>
    <row r="6" spans="1:5" x14ac:dyDescent="0.3">
      <c r="A6" s="6" t="s">
        <v>51</v>
      </c>
      <c r="B6" s="4">
        <v>9.6783625730994167</v>
      </c>
      <c r="C6" s="4">
        <v>142.51137102014295</v>
      </c>
      <c r="D6" s="4">
        <v>2.7387220513853476</v>
      </c>
      <c r="E6" s="7">
        <v>9.75673439316493E-2</v>
      </c>
    </row>
    <row r="7" spans="1:5" x14ac:dyDescent="0.3">
      <c r="A7" s="6" t="s">
        <v>52</v>
      </c>
      <c r="B7" s="4">
        <v>7.4261661194818647</v>
      </c>
      <c r="C7" s="4">
        <v>86.6950689803068</v>
      </c>
      <c r="D7" s="4">
        <v>1.9414816056895134</v>
      </c>
      <c r="E7" s="7">
        <v>7.6150103212610537E-2</v>
      </c>
    </row>
    <row r="8" spans="1:5" x14ac:dyDescent="0.3">
      <c r="A8" s="6" t="s">
        <v>53</v>
      </c>
      <c r="B8" s="4">
        <v>8.6122609625829263</v>
      </c>
      <c r="C8" s="4">
        <v>111.39404878707809</v>
      </c>
      <c r="D8" s="4">
        <v>2.200731585741809</v>
      </c>
      <c r="E8" s="7">
        <v>8.7295557631992468E-2</v>
      </c>
    </row>
    <row r="10" spans="1:5" x14ac:dyDescent="0.3">
      <c r="A10" s="5" t="s">
        <v>58</v>
      </c>
      <c r="B10" s="5"/>
      <c r="C10" s="5"/>
      <c r="D10" s="5"/>
      <c r="E10" s="5"/>
    </row>
    <row r="11" spans="1:5" x14ac:dyDescent="0.3">
      <c r="A11" s="4"/>
      <c r="B11" s="6" t="s">
        <v>54</v>
      </c>
      <c r="C11" s="6" t="s">
        <v>55</v>
      </c>
      <c r="D11" s="6" t="s">
        <v>56</v>
      </c>
      <c r="E11" s="6" t="s">
        <v>57</v>
      </c>
    </row>
    <row r="12" spans="1:5" x14ac:dyDescent="0.3">
      <c r="A12" s="6" t="s">
        <v>50</v>
      </c>
      <c r="B12" s="4">
        <v>4.5507936507936506</v>
      </c>
      <c r="C12" s="4">
        <v>31.034550264550262</v>
      </c>
      <c r="D12" s="4">
        <v>1.2156626698567929</v>
      </c>
      <c r="E12" s="7">
        <v>2.4552775587114127E-2</v>
      </c>
    </row>
    <row r="13" spans="1:5" x14ac:dyDescent="0.3">
      <c r="A13" s="6" t="s">
        <v>51</v>
      </c>
      <c r="B13" s="4">
        <v>5.094736842105255</v>
      </c>
      <c r="C13" s="4">
        <v>38.349161793372311</v>
      </c>
      <c r="D13" s="4">
        <v>1.4206959338624432</v>
      </c>
      <c r="E13" s="7">
        <v>2.7546477782434166E-2</v>
      </c>
    </row>
    <row r="14" spans="1:5" x14ac:dyDescent="0.3">
      <c r="A14" s="6" t="s">
        <v>52</v>
      </c>
      <c r="B14" s="4">
        <v>5.0560869918081348</v>
      </c>
      <c r="C14" s="4">
        <v>38.782922538866615</v>
      </c>
      <c r="D14" s="4">
        <v>1.2985430387280135</v>
      </c>
      <c r="E14" s="7">
        <v>2.7551044517117686E-2</v>
      </c>
    </row>
    <row r="15" spans="1:5" x14ac:dyDescent="0.3">
      <c r="A15" s="6" t="s">
        <v>53</v>
      </c>
      <c r="B15" s="4">
        <v>4.4813133949564428</v>
      </c>
      <c r="C15" s="4">
        <v>32.500680024714264</v>
      </c>
      <c r="D15" s="4">
        <v>1.1887274896092854</v>
      </c>
      <c r="E15" s="7">
        <v>2.4726282743058041E-2</v>
      </c>
    </row>
    <row r="17" spans="1:5" x14ac:dyDescent="0.3">
      <c r="A17" s="4"/>
      <c r="B17" s="6" t="s">
        <v>59</v>
      </c>
      <c r="C17" s="6" t="s">
        <v>60</v>
      </c>
      <c r="D17" s="6" t="s">
        <v>61</v>
      </c>
      <c r="E17" s="6" t="s">
        <v>62</v>
      </c>
    </row>
    <row r="18" spans="1:5" x14ac:dyDescent="0.3">
      <c r="A18" s="8" t="s">
        <v>49</v>
      </c>
      <c r="B18" s="4" t="s">
        <v>52</v>
      </c>
      <c r="C18" s="9" t="s">
        <v>50</v>
      </c>
      <c r="D18" s="9" t="s">
        <v>50</v>
      </c>
      <c r="E18" s="4" t="s">
        <v>52</v>
      </c>
    </row>
    <row r="19" spans="1:5" x14ac:dyDescent="0.3">
      <c r="A19" s="8" t="s">
        <v>58</v>
      </c>
      <c r="B19" s="4" t="s">
        <v>53</v>
      </c>
      <c r="C19" s="9" t="s">
        <v>50</v>
      </c>
      <c r="D19" s="4" t="s">
        <v>53</v>
      </c>
      <c r="E19" s="9" t="s">
        <v>50</v>
      </c>
    </row>
    <row r="21" spans="1:5" x14ac:dyDescent="0.3">
      <c r="A21" t="s">
        <v>63</v>
      </c>
      <c r="B21" t="s">
        <v>64</v>
      </c>
    </row>
    <row r="22" spans="1:5" x14ac:dyDescent="0.3">
      <c r="B22" t="s">
        <v>65</v>
      </c>
    </row>
  </sheetData>
  <mergeCells count="2">
    <mergeCell ref="A3:E3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</vt:lpstr>
      <vt:lpstr>DMA</vt:lpstr>
      <vt:lpstr>SES</vt:lpstr>
      <vt:lpstr>DES</vt:lpstr>
      <vt:lpstr>Perbandingan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Husyairi</dc:creator>
  <cp:lastModifiedBy>Miftah Husyairi</cp:lastModifiedBy>
  <dcterms:created xsi:type="dcterms:W3CDTF">2026-08-21T06:36:51Z</dcterms:created>
  <dcterms:modified xsi:type="dcterms:W3CDTF">2026-08-25T11:24:57Z</dcterms:modified>
</cp:coreProperties>
</file>